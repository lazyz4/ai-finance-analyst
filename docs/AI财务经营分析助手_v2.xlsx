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88a05e52bd41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分析看板" sheetId="1" r:id="R1152daa7898a40e5"/>
    <x:sheet xmlns:r="http://schemas.openxmlformats.org/officeDocument/2006/relationships" name="指标分析" sheetId="2" r:id="Rc0c48715d31b43fc"/>
    <x:sheet xmlns:r="http://schemas.openxmlformats.org/officeDocument/2006/relationships" name="营运资本与现金质量" sheetId="3" r:id="R0471d9408615431e"/>
    <x:sheet xmlns:r="http://schemas.openxmlformats.org/officeDocument/2006/relationships" name="异常规则" sheetId="4" r:id="R4b34a3b5d13e4e8b"/>
    <x:sheet xmlns:r="http://schemas.openxmlformats.org/officeDocument/2006/relationships" name="真实报表数据" sheetId="5" r:id="R84fdab87a4544e50"/>
    <x:sheet xmlns:r="http://schemas.openxmlformats.org/officeDocument/2006/relationships" name="2025季度数据" sheetId="6" r:id="Rc780dd185e9b45c4"/>
    <x:sheet xmlns:r="http://schemas.openxmlformats.org/officeDocument/2006/relationships" name="AI分析Prompt" sheetId="7" r:id="R7080d7fd07b7440a"/>
    <x:sheet xmlns:r="http://schemas.openxmlformats.org/officeDocument/2006/relationships" name="来源与证据" sheetId="8" r:id="R2abd2a5a0c9248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0"/>
    <x:numFmt numFmtId="201" formatCode="#,##0.000"/>
    <x:numFmt numFmtId="202" formatCode="0.0%"/>
    <x:numFmt numFmtId="203" formatCode="#,##0.0"/>
    <x:numFmt numFmtId="204" formatCode="0.0&quot;%&quot;"/>
    <x:numFmt numFmtId="205" formatCode="0.00%"/>
    <x:numFmt numFmtId="206" formatCode="0.00&quot; pp&quot;"/>
    <x:numFmt numFmtId="207" formatCode="0.0"/>
    <x:numFmt numFmtId="208" formatCode="0.000"/>
    <x:numFmt numFmtId="209" formatCode="#,##0"/>
  </x:numFmts>
  <x:fonts count="8">
    <x:font>
      <x:sz val="11"/>
      <x:name val="Carlito"/>
    </x:font>
    <x:font>
      <x:b/>
      <x:sz val="14"/>
      <x:color rgb="FF1F3B63"/>
      <x:name val="Microsoft YaHei"/>
    </x:font>
    <x:font>
      <x:i/>
      <x:sz val="9"/>
      <x:color rgb="FF6B7280"/>
      <x:name val="Microsoft YaHei"/>
    </x:font>
    <x:font>
      <x:b/>
      <x:sz val="10"/>
      <x:color rgb="FFFFFFFF"/>
      <x:name val="Microsoft YaHei"/>
    </x:font>
    <x:font>
      <x:sz val="10"/>
      <x:color rgb="FF1F2430"/>
      <x:name val="Microsoft YaHei"/>
    </x:font>
    <x:font>
      <x:b/>
      <x:sz val="10"/>
      <x:color rgb="FF1F2430"/>
      <x:name val="Microsoft YaHei"/>
    </x:font>
    <x:font>
      <x:b/>
      <x:sz val="10"/>
      <x:color rgb="FF1F3B63"/>
      <x:name val="Microsoft YaHei"/>
    </x:font>
    <x:font>
      <x:sz val="9"/>
      <x:color rgb="FF5A6472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3B63"/>
      </x:patternFill>
    </x:fill>
    <x:fill>
      <x:patternFill patternType="solid">
        <x:fgColor rgb="FFFFF6E0"/>
      </x:patternFill>
    </x:fill>
    <x:fill>
      <x:patternFill patternType="solid">
        <x:fgColor rgb="FFDCE6F1"/>
      </x:patternFill>
    </x:fill>
  </x:fills>
  <x:borders count="12">
    <x:border/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E4E8EF"/>
      </x:left>
      <x:right style="thin">
        <x:color rgb="FFE4E8EF"/>
      </x:right>
      <x:top style="thin">
        <x:color rgb="FFE4E8EF"/>
      </x:top>
      <x:bottom style="thin">
        <x:color rgb="FFE4E8EF"/>
      </x:bottom>
    </x:border>
    <x:border>
      <x:left style="thin">
        <x:color rgb="FFD9A21B"/>
      </x:left>
      <x:right style="thin">
        <x:color rgb="FFD9A21B"/>
      </x:right>
      <x:top style="thin">
        <x:color rgb="FFD9A21B"/>
      </x:top>
      <x:bottom style="thin">
        <x:color rgb="FFD9A21B"/>
      </x:bottom>
    </x:border>
    <x:border>
      <x:left style="thin">
        <x:color rgb="FFB7C4D6"/>
      </x:left>
      <x:top style="thin">
        <x:color rgb="FFB7C4D6"/>
      </x:top>
      <x:bottom style="thin">
        <x:color rgb="FFB7C4D6"/>
      </x:bottom>
    </x:border>
    <x:border>
      <x:top style="thin">
        <x:color rgb="FFB7C4D6"/>
      </x:top>
      <x:bottom style="thin">
        <x:color rgb="FFB7C4D6"/>
      </x:bottom>
    </x:border>
    <x:border>
      <x:right style="thin">
        <x:color rgb="FFB7C4D6"/>
      </x:right>
      <x:top style="thin">
        <x:color rgb="FFB7C4D6"/>
      </x:top>
      <x:bottom style="thin">
        <x:color rgb="FFB7C4D6"/>
      </x:bottom>
    </x:border>
    <x:border>
      <x:left style="thin">
        <x:color rgb="FFE4E8EF"/>
      </x:left>
      <x:top style="thin">
        <x:color rgb="FFE4E8EF"/>
      </x:top>
      <x:bottom style="thin">
        <x:color rgb="FFE4E8EF"/>
      </x:bottom>
    </x:border>
    <x:border>
      <x:top style="thin">
        <x:color rgb="FFE4E8EF"/>
      </x:top>
      <x:bottom style="thin">
        <x:color rgb="FFE4E8EF"/>
      </x:bottom>
    </x:border>
    <x:border>
      <x:right style="thin">
        <x:color rgb="FFE4E8EF"/>
      </x:right>
      <x:top style="thin">
        <x:color rgb="FFE4E8EF"/>
      </x:top>
      <x:bottom style="thin">
        <x:color rgb="FFE4E8EF"/>
      </x:bottom>
    </x:border>
  </x:borders>
  <x:cellStyleXfs count="1">
    <x:xf numFmtId="0" fontId="0" fillId="0" borderId="0"/>
  </x:cellStyleXfs>
  <x:cellXfs count="10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200" fontId="5" fillId="3" borderId="5" xfId="0" applyNumberFormat="1" applyFont="1" applyFill="1" applyBorder="1" applyAlignment="1">
      <x:alignment horizontal="center" vertical="center" wrapText="1"/>
    </x:xf>
    <x:xf numFmtId="201" fontId="4" fillId="0" borderId="4" xfId="0" applyNumberFormat="1" applyFont="1" applyFill="1" applyBorder="1" applyAlignment="1">
      <x:alignment vertical="center" wrapText="1"/>
    </x:xf>
    <x:xf numFmtId="202" fontId="4" fillId="0" borderId="4" xfId="0" applyNumberFormat="1" applyFont="1" applyFill="1" applyBorder="1" applyAlignment="1">
      <x:alignment vertical="center" wrapText="1"/>
    </x:xf>
    <x:xf numFmtId="201" fontId="4" fillId="0" borderId="4" xfId="0" applyNumberFormat="1" applyFont="1" applyFill="1" applyBorder="1" applyAlignment="1">
      <x:alignment horizontal="right" vertical="center" wrapText="1"/>
    </x:xf>
    <x:xf numFmtId="202" fontId="4" fillId="0" borderId="4" xfId="0" applyNumberFormat="1" applyFont="1" applyFill="1" applyBorder="1" applyAlignment="1">
      <x:alignment horizontal="right" vertical="center" wrapText="1"/>
    </x:xf>
    <x:xf numFmtId="203" fontId="4" fillId="0" borderId="4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horizontal="right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6" fillId="4" borderId="6" xfId="0" applyNumberFormat="1" applyFont="1" applyFill="1" applyBorder="1" applyAlignment="1">
      <x:alignment vertical="center"/>
    </x:xf>
    <x:xf numFmtId="0" fontId="6" fillId="4" borderId="7" xfId="0" applyNumberFormat="1" applyFont="1" applyFill="1" applyBorder="1" applyAlignment="1">
      <x:alignment vertical="center"/>
    </x:xf>
    <x:xf numFmtId="0" fontId="6" fillId="4" borderId="8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3" fontId="4" fillId="0" borderId="0" xfId="0" applyNumberFormat="1" applyFont="1" applyFill="1" applyBorder="1"/>
    <x:xf numFmtId="202" fontId="4" fillId="0" borderId="0" xfId="0" applyNumberFormat="1" applyFont="1" applyFill="1" applyBorder="1"/>
    <x:xf numFmtId="200" fontId="4" fillId="0" borderId="0" xfId="0" applyNumberFormat="1" applyFont="1" applyFill="1" applyBorder="1"/>
    <x:xf numFmtId="204" fontId="4" fillId="0" borderId="0" xfId="0" applyNumberFormat="1" applyFont="1" applyFill="1" applyBorder="1"/>
    <x:xf numFmtId="205" fontId="4" fillId="0" borderId="0" xfId="0" applyNumberFormat="1" applyFont="1" applyFill="1" applyBorder="1"/>
    <x:xf numFmtId="206" fontId="4" fillId="0" borderId="0" xfId="0" applyNumberFormat="1" applyFont="1" applyFill="1" applyBorder="1"/>
    <x:xf numFmtId="203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6" fontId="4" fillId="0" borderId="0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4" fontId="4" fillId="0" borderId="4" xfId="0" applyNumberFormat="1" applyFont="1" applyFill="1" applyBorder="1" applyAlignment="1">
      <x:alignment vertical="center"/>
    </x:xf>
    <x:xf numFmtId="205" fontId="4" fillId="0" borderId="4" xfId="0" applyNumberFormat="1" applyFont="1" applyFill="1" applyBorder="1" applyAlignment="1">
      <x:alignment vertical="center"/>
    </x:xf>
    <x:xf numFmtId="206" fontId="4" fillId="0" borderId="4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204" fontId="4" fillId="0" borderId="4" xfId="0" applyNumberFormat="1" applyFont="1" applyFill="1" applyBorder="1" applyAlignment="1">
      <x:alignment vertical="center" wrapText="1"/>
    </x:xf>
    <x:xf numFmtId="205" fontId="4" fillId="0" borderId="4" xfId="0" applyNumberFormat="1" applyFont="1" applyFill="1" applyBorder="1" applyAlignment="1">
      <x:alignment vertical="center" wrapText="1"/>
    </x:xf>
    <x:xf numFmtId="206" fontId="4" fillId="0" borderId="4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horizontal="left" vertical="center" wrapText="1"/>
    </x:xf>
    <x:xf numFmtId="203" fontId="4" fillId="0" borderId="4" xfId="0" applyNumberFormat="1" applyFont="1" applyFill="1" applyBorder="1" applyAlignment="1">
      <x:alignment horizontal="center" vertical="center" wrapText="1"/>
    </x:xf>
    <x:xf numFmtId="202" fontId="4" fillId="0" borderId="4" xfId="0" applyNumberFormat="1" applyFont="1" applyFill="1" applyBorder="1" applyAlignment="1">
      <x:alignment horizontal="center" vertical="center" wrapText="1"/>
    </x:xf>
    <x:xf numFmtId="200" fontId="4" fillId="0" borderId="4" xfId="0" applyNumberFormat="1" applyFont="1" applyFill="1" applyBorder="1" applyAlignment="1">
      <x:alignment horizontal="center" vertical="center" wrapText="1"/>
    </x:xf>
    <x:xf numFmtId="204" fontId="4" fillId="0" borderId="4" xfId="0" applyNumberFormat="1" applyFont="1" applyFill="1" applyBorder="1" applyAlignment="1">
      <x:alignment horizontal="center" vertical="center" wrapText="1"/>
    </x:xf>
    <x:xf numFmtId="205" fontId="4" fillId="0" borderId="4" xfId="0" applyNumberFormat="1" applyFont="1" applyFill="1" applyBorder="1" applyAlignment="1">
      <x:alignment horizontal="center" vertical="center" wrapText="1"/>
    </x:xf>
    <x:xf numFmtId="206" fontId="4" fillId="0" borderId="4" xfId="0" applyNumberFormat="1" applyFont="1" applyFill="1" applyBorder="1" applyAlignment="1">
      <x:alignment horizontal="center" vertical="center" wrapText="1"/>
    </x:xf>
    <x:xf numFmtId="203" fontId="4" fillId="0" borderId="4" xfId="0" applyNumberFormat="1" applyFont="1" applyFill="1" applyBorder="1" applyAlignment="1">
      <x:alignment horizontal="right" vertical="center" wrapText="1"/>
    </x:xf>
    <x:xf numFmtId="200" fontId="4" fillId="0" borderId="4" xfId="0" applyNumberFormat="1" applyFont="1" applyFill="1" applyBorder="1" applyAlignment="1">
      <x:alignment horizontal="right" vertical="center" wrapText="1"/>
    </x:xf>
    <x:xf numFmtId="204" fontId="4" fillId="0" borderId="4" xfId="0" applyNumberFormat="1" applyFont="1" applyFill="1" applyBorder="1" applyAlignment="1">
      <x:alignment horizontal="right" vertical="center" wrapText="1"/>
    </x:xf>
    <x:xf numFmtId="205" fontId="4" fillId="0" borderId="4" xfId="0" applyNumberFormat="1" applyFont="1" applyFill="1" applyBorder="1" applyAlignment="1">
      <x:alignment horizontal="right" vertical="center" wrapText="1"/>
    </x:xf>
    <x:xf numFmtId="206" fontId="4" fillId="0" borderId="4" xfId="0" applyNumberFormat="1" applyFont="1" applyFill="1" applyBorder="1" applyAlignment="1">
      <x:alignment horizontal="right" vertical="center" wrapText="1"/>
    </x:xf>
    <x:xf numFmtId="207" fontId="0" fillId="0" borderId="0" xfId="0" applyNumberFormat="1" applyFont="1" applyFill="1" applyBorder="1"/>
    <x:xf numFmtId="208" fontId="0" fillId="0" borderId="0" xfId="0" applyNumberFormat="1" applyFont="1" applyFill="1" applyBorder="1"/>
    <x:xf numFmtId="207" fontId="4" fillId="0" borderId="0" xfId="0" applyNumberFormat="1" applyFont="1" applyFill="1" applyBorder="1"/>
    <x:xf numFmtId="208" fontId="4" fillId="0" borderId="0" xfId="0" applyNumberFormat="1" applyFont="1" applyFill="1" applyBorder="1"/>
    <x:xf numFmtId="207" fontId="4" fillId="0" borderId="0" xfId="0" applyNumberFormat="1" applyFont="1" applyFill="1" applyBorder="1" applyAlignment="1">
      <x:alignment vertical="center"/>
    </x:xf>
    <x:xf numFmtId="208" fontId="4" fillId="0" borderId="0" xfId="0" applyNumberFormat="1" applyFont="1" applyFill="1" applyBorder="1" applyAlignment="1">
      <x:alignment vertical="center"/>
    </x:xf>
    <x:xf numFmtId="207" fontId="4" fillId="0" borderId="4" xfId="0" applyNumberFormat="1" applyFont="1" applyFill="1" applyBorder="1" applyAlignment="1">
      <x:alignment vertical="center"/>
    </x:xf>
    <x:xf numFmtId="208" fontId="4" fillId="0" borderId="4" xfId="0" applyNumberFormat="1" applyFont="1" applyFill="1" applyBorder="1" applyAlignment="1">
      <x:alignment vertical="center"/>
    </x:xf>
    <x:xf numFmtId="207" fontId="4" fillId="0" borderId="4" xfId="0" applyNumberFormat="1" applyFont="1" applyFill="1" applyBorder="1" applyAlignment="1">
      <x:alignment vertical="center" wrapText="1"/>
    </x:xf>
    <x:xf numFmtId="208" fontId="4" fillId="0" borderId="4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207" fontId="4" fillId="0" borderId="4" xfId="0" applyNumberFormat="1" applyFont="1" applyFill="1" applyBorder="1" applyAlignment="1">
      <x:alignment horizontal="right" vertical="center" wrapText="1"/>
    </x:xf>
    <x:xf numFmtId="208" fontId="4" fillId="0" borderId="4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horizontal="right" vertical="center" wrapText="1"/>
    </x:xf>
    <x:xf numFmtId="209" fontId="4" fillId="0" borderId="4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 applyAlignment="1">
      <x:alignment horizontal="center"/>
    </x:xf>
    <x:xf numFmtId="0" fontId="4" fillId="0" borderId="4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i/>
        <x:color rgb="FF5A6472"/>
      </x:font>
      <x:fill>
        <x:patternFill patternType="solid">
          <x:bgColor rgb="FFF1F5F9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b84b99918f43aa" /><Relationship Type="http://schemas.openxmlformats.org/officeDocument/2006/relationships/theme" Target="/xl/theme/theme1.xml" Id="R651e537f2c214447" /><Relationship Type="http://schemas.openxmlformats.org/officeDocument/2006/relationships/sharedStrings" Target="/xl/sharedStrings.xml" Id="Rb4b4e3bf3a4144a1" /><Relationship Type="http://schemas.openxmlformats.org/officeDocument/2006/relationships/worksheet" Target="/xl/worksheets/sheet1.xml" Id="R1152daa7898a40e5" /><Relationship Type="http://schemas.openxmlformats.org/officeDocument/2006/relationships/worksheet" Target="/xl/worksheets/sheet2.xml" Id="Rc0c48715d31b43fc" /><Relationship Type="http://schemas.openxmlformats.org/officeDocument/2006/relationships/worksheet" Target="/xl/worksheets/sheet3.xml" Id="R0471d9408615431e" /><Relationship Type="http://schemas.openxmlformats.org/officeDocument/2006/relationships/worksheet" Target="/xl/worksheets/sheet4.xml" Id="R4b34a3b5d13e4e8b" /><Relationship Type="http://schemas.openxmlformats.org/officeDocument/2006/relationships/worksheet" Target="/xl/worksheets/sheet5.xml" Id="R84fdab87a4544e50" /><Relationship Type="http://schemas.openxmlformats.org/officeDocument/2006/relationships/worksheet" Target="/xl/worksheets/sheet6.xml" Id="Rc780dd185e9b45c4" /><Relationship Type="http://schemas.openxmlformats.org/officeDocument/2006/relationships/worksheet" Target="/xl/worksheets/sheet7.xml" Id="R7080d7fd07b7440a" /><Relationship Type="http://schemas.openxmlformats.org/officeDocument/2006/relationships/worksheet" Target="/xl/worksheets/sheet8.xml" Id="R2abd2a5a0c9248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64866863eef4d9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分季度归母净利润与经营活动现金流净额（百万元）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归母净利润</c:v>
          </c:tx>
          <c:marker>
            <c:symbol val="none"/>
          </c:marker>
          <c:cat>
            <c:strRef>
              <c:f>'经营分析看板'!$A$28:$A$31</c:f>
              <c:strCache>
                <c:ptCount val="0"/>
              </c:strCache>
            </c:strRef>
          </c:cat>
          <c:val>
            <c:numRef>
              <c:f>'经营分析看板'!$C$28:$C$31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经营活动现金流净额</c:v>
          </c:tx>
          <c:marker>
            <c:symbol val="none"/>
          </c:marker>
          <c:cat>
            <c:strRef>
              <c:f>'经营分析看板'!$A$28:$A$31</c:f>
              <c:strCache>
                <c:ptCount val="0"/>
              </c:strCache>
            </c:strRef>
          </c:cat>
          <c:val>
            <c:numRef>
              <c:f>'经营分析看板'!$D$28:$D$31</c:f>
              <c:numCache>
                <c:formatCode>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4866863eef4d9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8763e7a583440a2" /></Relationships>
</file>

<file path=xl/worksheets/sheet1.xml><?xml version="1.0" encoding="utf-8"?>
<x:worksheet xmlns:x="http://schemas.openxmlformats.org/spreadsheetml/2006/main">
  <x:sheetPr>
    <x:tabColor rgb="FF1F3B63"/>
  </x:sheetPr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2" hidden="0" customWidth="1"/>
    <x:col min="4" max="4" width="30" hidden="0" customWidth="1"/>
    <x:col min="5" max="5" width="24" hidden="0" customWidth="1"/>
  </x:cols>
  <x:sheetData>
    <x:row r="2">
      <x:c r="A2" s="2" t="str">
        <x:v>美的集团 2025 年经营分析看板</x:v>
      </x:c>
    </x:row>
    <x:row r="3" ht="30" customHeight="1">
      <x:c r="A3" s="5" t="str">
        <x:v>数据来源：美的集团 2025 年年度报告（巨潮资讯网，2026-03-31 披露）｜单位：百万元｜状态判定与阈值见「异常规则」</x:v>
      </x:c>
    </x:row>
    <x:row r="5" ht="22" customHeight="1">
      <x:c r="A5" s="35" t="str">
        <x:v>核心指标</x:v>
      </x:c>
      <x:c r="B5" s="36" t="str">
        <x:v>核心指标</x:v>
      </x:c>
      <x:c r="C5" s="36" t="str">
        <x:v>核心指标</x:v>
      </x:c>
      <x:c r="D5" s="36" t="str">
        <x:v>核心指标</x:v>
      </x:c>
      <x:c r="E5" s="37" t="str">
        <x:v>核心指标</x:v>
      </x:c>
    </x:row>
    <x:row r="6" ht="28" customHeight="1">
      <x:c r="A6" s="11" t="str">
        <x:v>指标</x:v>
      </x:c>
      <x:c r="B6" s="12" t="str">
        <x:v>2025</x:v>
      </x:c>
      <x:c r="C6" s="12" t="str">
        <x:v>同比／变化</x:v>
      </x:c>
      <x:c r="D6" s="13" t="str">
        <x:v>口径</x:v>
      </x:c>
      <x:c r="E6"/>
    </x:row>
    <x:row r="7">
      <x:c r="A7" s="17" t="str">
        <x:v>营业总收入</x:v>
      </x:c>
      <x:c r="B7" s="96" t="n">
        <x:f>'真实报表数据'!C6</x:f>
        <x:v>458502.407</x:v>
      </x:c>
      <x:c r="C7" s="26" t="n">
        <x:f>'真实报表数据'!D6</x:f>
        <x:v>0.12080186188339015</x:v>
      </x:c>
      <x:c r="D7" s="89" t="str">
        <x:v>规模与增长</x:v>
      </x:c>
      <x:c r="E7"/>
    </x:row>
    <x:row r="8">
      <x:c r="A8" s="17" t="str">
        <x:v>净利润</x:v>
      </x:c>
      <x:c r="B8" s="96" t="n">
        <x:f>'真实报表数据'!C12</x:f>
        <x:v>44520.196</x:v>
      </x:c>
      <x:c r="C8" s="26" t="n">
        <x:f>'真实报表数据'!D12</x:f>
        <x:v>0.148694434022012</x:v>
      </x:c>
      <x:c r="D8" s="89" t="str">
        <x:v>最终盈利</x:v>
      </x:c>
      <x:c r="E8"/>
    </x:row>
    <x:row r="9">
      <x:c r="A9" s="17" t="str">
        <x:v>经营活动现金流净额</x:v>
      </x:c>
      <x:c r="B9" s="96" t="n">
        <x:f>'真实报表数据'!C13</x:f>
        <x:v>53345.93</x:v>
      </x:c>
      <x:c r="C9" s="26" t="n">
        <x:f>'真实报表数据'!D13</x:f>
        <x:v>-0.1184177135573341</x:v>
      </x:c>
      <x:c r="D9" s="89" t="str">
        <x:v>经营现金创造能力</x:v>
      </x:c>
      <x:c r="E9"/>
    </x:row>
    <x:row r="10">
      <x:c r="A10" s="17" t="str">
        <x:v>现金含量（倍）</x:v>
      </x:c>
      <x:c r="B10" s="75" t="n">
        <x:f>'营运资本与现金质量'!D5</x:f>
        <x:v>1.1982411308341947</x:v>
      </x:c>
      <x:c r="C10" s="75" t="n">
        <x:f>'营运资本与现金质量'!E5</x:f>
        <x:v>-0.3630571606271058</x:v>
      </x:c>
      <x:c r="D10" s="89" t="str">
        <x:v>经营现金流净额 ÷ 净利润</x:v>
      </x:c>
      <x:c r="E10"/>
    </x:row>
    <x:row r="11">
      <x:c r="A11" s="17" t="str">
        <x:v>现金转换周期（天）</x:v>
      </x:c>
      <x:c r="B11" s="90" t="n">
        <x:f>'营运资本与现金质量'!D10</x:f>
        <x:v>-10.22240138305908</x:v>
      </x:c>
      <x:c r="C11" s="90" t="n">
        <x:f>'营运资本与现金质量'!E10</x:f>
        <x:v>-6.269392591516947</x:v>
      </x:c>
      <x:c r="D11" s="89" t="str">
        <x:v>应收＋存货−应付周转天数</x:v>
      </x:c>
      <x:c r="E11"/>
    </x:row>
    <x:row r="13" ht="22" customHeight="1">
      <x:c r="A13" s="35" t="str">
        <x:v>异常信号汇总</x:v>
      </x:c>
      <x:c r="B13" s="36" t="str">
        <x:v>异常信号汇总</x:v>
      </x:c>
      <x:c r="C13" s="36" t="str">
        <x:v>异常信号汇总</x:v>
      </x:c>
      <x:c r="D13" s="36" t="str">
        <x:v>异常信号汇总</x:v>
      </x:c>
      <x:c r="E13" s="37" t="str">
        <x:v>异常信号汇总</x:v>
      </x:c>
    </x:row>
    <x:row r="14" ht="28" customHeight="1">
      <x:c r="A14" s="11" t="str">
        <x:v>状态</x:v>
      </x:c>
      <x:c r="B14" s="12" t="str">
        <x:v>事项数</x:v>
      </x:c>
      <x:c r="C14" s="13" t="str">
        <x:v>说明</x:v>
      </x:c>
    </x:row>
    <x:row r="15">
      <x:c r="A15" s="18" t="str">
        <x:v>预警</x:v>
      </x:c>
      <x:c r="B15" s="18" t="n">
        <x:f>COUNTIF('指标分析'!$I$5:$I$19,"预警")+COUNTIF('营运资本与现金质量'!$G$5:$G$11,"预警")</x:f>
        <x:v>0</x:v>
      </x:c>
      <x:c r="C15" s="17" t="str">
        <x:v>触及预警阈值，需要优先核查</x:v>
      </x:c>
      <x:c r="D15" s="38"/>
    </x:row>
    <x:row r="16">
      <x:c r="A16" s="18" t="str">
        <x:v>关注</x:v>
      </x:c>
      <x:c r="B16" s="18" t="n">
        <x:f>COUNTIF('指标分析'!$I$5:$I$19,"关注")+COUNTIF('营运资本与现金质量'!$G$5:$G$11,"关注")</x:f>
        <x:v>3</x:v>
      </x:c>
      <x:c r="C16" s="17" t="str">
        <x:v>触及关注阈值，需要列入核查清单</x:v>
      </x:c>
      <x:c r="D16" s="38"/>
    </x:row>
    <x:row r="17">
      <x:c r="A17" s="18" t="str">
        <x:v>正常</x:v>
      </x:c>
      <x:c r="B17" s="18" t="n">
        <x:f>COUNTIF('指标分析'!$I$5:$I$19,"正常")+COUNTIF('营运资本与现金质量'!$G$5:$G$11,"正常")</x:f>
        <x:v>19</x:v>
      </x:c>
      <x:c r="C17" s="17" t="str">
        <x:v>未触发规则</x:v>
      </x:c>
      <x:c r="D17" s="38"/>
    </x:row>
    <x:row r="19" ht="22" customHeight="1">
      <x:c r="A19" s="35" t="str">
        <x:v>AI 分析重点</x:v>
      </x:c>
      <x:c r="B19" s="36" t="str">
        <x:v>AI 分析重点</x:v>
      </x:c>
      <x:c r="C19" s="36" t="str">
        <x:v>AI 分析重点</x:v>
      </x:c>
      <x:c r="D19" s="36" t="str">
        <x:v>AI 分析重点</x:v>
      </x:c>
      <x:c r="E19" s="37" t="str">
        <x:v>AI 分析重点</x:v>
      </x:c>
    </x:row>
    <x:row r="20" ht="36" customHeight="1">
      <x:c r="A20" s="98" t="n">
        <x:v>1</x:v>
      </x:c>
      <x:c r="B20" s="94" t="str">
        <x:v>2025 年营业总收入同比增长 12.1%、净利润同比增长 14.9%，但经营活动现金流净额同比下降 11.8%，经营盈利与现金创造方向不一致。</x:v>
      </x:c>
      <x:c r="C20" s="94"/>
      <x:c r="D20" s="94"/>
      <x:c r="E20" s="94"/>
    </x:row>
    <x:row r="21" ht="36" customHeight="1">
      <x:c r="A21" s="98" t="n">
        <x:v>2</x:v>
      </x:c>
      <x:c r="B21" s="94" t="str">
        <x:v>现金含量由 1.56 倍降至 1.20 倍，同时现金转换周期由 −4.0 天改善至 −10.2 天。营运资本效率改善与经营现金流下降方向相反，现金流出变化可能来自营运资本以外的项目。</x:v>
      </x:c>
      <x:c r="C21" s="94"/>
      <x:c r="D21" s="94"/>
      <x:c r="E21" s="94"/>
    </x:row>
    <x:row r="22" ht="36" customHeight="1">
      <x:c r="A22" s="98" t="n">
        <x:v>3</x:v>
      </x:c>
      <x:c r="B22" s="94" t="str">
        <x:v>2025 年第四季度经营活动现金流净额为 −3,720 百万元，归母净利润 6,062 百万元，明显低于前三季度，需结合季节性、备货与回款节奏判断。</x:v>
      </x:c>
      <x:c r="C22" s="94"/>
      <x:c r="D22" s="94"/>
      <x:c r="E22" s="94"/>
    </x:row>
    <x:row r="23" ht="36" customHeight="1">
      <x:c r="A23" s="98" t="n">
        <x:v>4</x:v>
      </x:c>
      <x:c r="B23" s="94" t="str">
        <x:v>货币资金同比下降 39.3%，需要结合现金分红、理财与定期存款重分类、有息负债偿还及受限资金披露核查。</x:v>
      </x:c>
      <x:c r="C23" s="94"/>
      <x:c r="D23" s="94"/>
      <x:c r="E23" s="94"/>
    </x:row>
    <x:row r="24" ht="36" customHeight="1">
      <x:c r="A24" s="98" t="n">
        <x:v>5</x:v>
      </x:c>
      <x:c r="B24" s="94" t="str">
        <x:v>季度营业收入合计与全年营业总收入相差 2,051 百万元，季度归母净利润合计与全年净利润相差 575 百万元，做结构与同比分析前需统一口径。</x:v>
      </x:c>
      <x:c r="C24" s="94"/>
      <x:c r="D24" s="94"/>
      <x:c r="E24" s="94"/>
    </x:row>
    <x:row r="26" ht="22" customHeight="1">
      <x:c r="A26" s="35" t="str">
        <x:v>季度数据</x:v>
      </x:c>
      <x:c r="B26" s="36" t="str">
        <x:v>季度数据</x:v>
      </x:c>
      <x:c r="C26" s="36" t="str">
        <x:v>季度数据</x:v>
      </x:c>
      <x:c r="D26" s="36" t="str">
        <x:v>季度数据</x:v>
      </x:c>
      <x:c r="E26" s="37" t="str">
        <x:v>季度数据</x:v>
      </x:c>
    </x:row>
    <x:row r="27" ht="28" customHeight="1">
      <x:c r="A27" s="11" t="str">
        <x:v>季度</x:v>
      </x:c>
      <x:c r="B27" s="12" t="str">
        <x:v>营业收入</x:v>
      </x:c>
      <x:c r="C27" s="12" t="str">
        <x:v>归母净利润</x:v>
      </x:c>
      <x:c r="D27" s="12" t="str">
        <x:v>经营活动现金流净额</x:v>
      </x:c>
      <x:c r="E27" s="13" t="str">
        <x:v>提示</x:v>
      </x:c>
    </x:row>
    <x:row r="28">
      <x:c r="A28" s="18" t="str">
        <x:v>Q1</x:v>
      </x:c>
      <x:c r="B28" s="74" t="n">
        <x:f>'2025季度数据'!B6</x:f>
        <x:v>127838.538</x:v>
      </x:c>
      <x:c r="C28" s="74" t="n">
        <x:f>'2025季度数据'!C6</x:f>
        <x:v>12422.233</x:v>
      </x:c>
      <x:c r="D28" s="74" t="n">
        <x:f>'2025季度数据'!E6</x:f>
        <x:v>14320.968</x:v>
      </x:c>
      <x:c r="E28" s="17" t="str">
        <x:v>正常观察</x:v>
      </x:c>
    </x:row>
    <x:row r="29">
      <x:c r="A29" s="18" t="str">
        <x:v>Q2</x:v>
      </x:c>
      <x:c r="B29" s="74" t="n">
        <x:f>'2025季度数据'!B7</x:f>
        <x:v>123285.176</x:v>
      </x:c>
      <x:c r="C29" s="74" t="n">
        <x:f>'2025季度数据'!C7</x:f>
        <x:v>13591.457</x:v>
      </x:c>
      <x:c r="D29" s="74" t="n">
        <x:f>'2025季度数据'!E7</x:f>
        <x:v>22960.047</x:v>
      </x:c>
      <x:c r="E29" s="17" t="str">
        <x:v>正常观察</x:v>
      </x:c>
    </x:row>
    <x:row r="30">
      <x:c r="A30" s="18" t="str">
        <x:v>Q3</x:v>
      </x:c>
      <x:c r="B30" s="74" t="n">
        <x:f>'2025季度数据'!B8</x:f>
        <x:v>111933.037</x:v>
      </x:c>
      <x:c r="C30" s="74" t="n">
        <x:f>'2025季度数据'!C8</x:f>
        <x:v>11869.693</x:v>
      </x:c>
      <x:c r="D30" s="74" t="n">
        <x:f>'2025季度数据'!E8</x:f>
        <x:v>19785.07</x:v>
      </x:c>
      <x:c r="E30" s="17" t="str">
        <x:v>正常观察</x:v>
      </x:c>
    </x:row>
    <x:row r="31">
      <x:c r="A31" s="18" t="str">
        <x:v>Q4</x:v>
      </x:c>
      <x:c r="B31" s="74" t="n">
        <x:f>'2025季度数据'!B9</x:f>
        <x:v>93394.98</x:v>
      </x:c>
      <x:c r="C31" s="74" t="n">
        <x:f>'2025季度数据'!C9</x:f>
        <x:v>6062.028</x:v>
      </x:c>
      <x:c r="D31" s="74" t="n">
        <x:f>'2025季度数据'!E9</x:f>
        <x:v>-3720.155</x:v>
      </x:c>
      <x:c r="E31" s="17" t="str">
        <x:f>IF(D31&lt;0,"预警：经营现金流为负","正常观察")</x:f>
        <x:v>预警：经营现金流为负</x:v>
      </x:c>
    </x:row>
    <x:row r="33" ht="30" customHeight="1">
      <x:c r="A33" s="5" t="str">
        <x:v>看板数值均由「指标分析」「营运资本与现金质量」「真实报表数据」「2025季度数据」链接或计算，修改阈值或原始数据后自动更新。</x:v>
      </x:c>
    </x:row>
  </x:sheetData>
  <x:mergeCells>
    <x:mergeCell ref="A2:E2"/>
    <x:mergeCell ref="A3:E3"/>
    <x:mergeCell ref="A5:E5"/>
    <x:mergeCell ref="A13:E13"/>
    <x:mergeCell ref="C15:D15"/>
    <x:mergeCell ref="C16:D16"/>
    <x:mergeCell ref="C17:D17"/>
    <x:mergeCell ref="A19:E19"/>
    <x:mergeCell ref="B20:E20"/>
    <x:mergeCell ref="B21:E21"/>
    <x:mergeCell ref="B22:E22"/>
    <x:mergeCell ref="B23:E23"/>
    <x:mergeCell ref="B24:E24"/>
    <x:mergeCell ref="A26:E26"/>
    <x:mergeCell ref="A33:E33"/>
  </x:mergeCells>
  <x:conditionalFormatting sqref="A15:A15">
    <x:cfRule type="containsText" dxfId="7" priority="1" operator="containsText" text="预警"/>
  </x:conditionalFormatting>
  <x:conditionalFormatting sqref="A16:A16">
    <x:cfRule type="containsText" dxfId="8" priority="2" operator="containsText" text="关注"/>
  </x:conditionalFormatting>
  <x:conditionalFormatting sqref="E31:E31">
    <x:cfRule type="containsText" dxfId="9" priority="3" operator="containsText" text="预警"/>
  </x:conditionalFormatting>
  <x:pageMargins left="0.7" right="0.7" top="0.75" bottom="0.75" header="0.3" footer="0.3"/>
  <x:drawing xmlns:r="http://schemas.openxmlformats.org/officeDocument/2006/relationships" r:id="Rb8763e7a583440a2"/>
</x:worksheet>
</file>

<file path=xl/worksheets/sheet2.xml><?xml version="1.0" encoding="utf-8"?>
<x:worksheet xmlns:x="http://schemas.openxmlformats.org/spreadsheetml/2006/main">
  <x:sheetPr>
    <x:tabColor rgb="FF2E5C8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0" hidden="0" customWidth="1"/>
    <x:col min="10" max="10" width="36" hidden="0" customWidth="1"/>
    <x:col min="11" max="11" width="44" hidden="0" customWidth="1"/>
  </x:cols>
  <x:sheetData>
    <x:row r="2">
      <x:c r="A2" s="2" t="str">
        <x:v>指标分析｜基于真实报表数据</x:v>
      </x:c>
    </x:row>
    <x:row r="3" ht="30" customHeight="1">
      <x:c r="A3" s="5" t="str">
        <x:v>金额类指标单位为百万元，比率类指标为百分数。监测值＝比率类指标的百分点变化（pp）或金额类指标的同比变化率（%），与「异常规则」阈值同口径。</x:v>
      </x:c>
    </x:row>
    <x:row r="4" ht="28" customHeight="1">
      <x:c r="A4" s="11" t="str">
        <x:v>分析指标</x:v>
      </x:c>
      <x:c r="B4" s="12" t="str">
        <x:v>类型</x:v>
      </x:c>
      <x:c r="C4" s="12" t="str">
        <x:v>2024值</x:v>
      </x:c>
      <x:c r="D4" s="12" t="str">
        <x:v>2025值</x:v>
      </x:c>
      <x:c r="E4" s="12" t="str">
        <x:v>变化额</x:v>
      </x:c>
      <x:c r="F4" s="12" t="str">
        <x:v>变化率</x:v>
      </x:c>
      <x:c r="G4" s="12" t="str">
        <x:v>变化(百分点)</x:v>
      </x:c>
      <x:c r="H4" s="12" t="str">
        <x:v>监测值</x:v>
      </x:c>
      <x:c r="I4" s="12" t="str">
        <x:v>状态</x:v>
      </x:c>
      <x:c r="J4" s="12" t="str">
        <x:v>触发规则</x:v>
      </x:c>
      <x:c r="K4" s="13" t="str">
        <x:v>所需核查</x:v>
      </x:c>
    </x:row>
    <x:row r="5" ht="32" customHeight="1">
      <x:c r="A5" s="67" t="str">
        <x:v>营业总收入</x:v>
      </x:c>
      <x:c r="B5" s="18" t="str">
        <x:v>金额</x:v>
      </x:c>
      <x:c r="C5" s="74" t="n">
        <x:f>'真实报表数据'!B6</x:f>
        <x:v>409084.266</x:v>
      </x:c>
      <x:c r="D5" s="74" t="n">
        <x:f>'真实报表数据'!C6</x:f>
        <x:v>458502.407</x:v>
      </x:c>
      <x:c r="E5" s="74" t="n">
        <x:f>IF($B5="比率","—",D5-C5)</x:f>
        <x:v>49418.141</x:v>
      </x:c>
      <x:c r="F5" s="26" t="n">
        <x:f>IF($B5="比率","—",D5/C5-1)</x:f>
        <x:v>0.12080186188339015</x:v>
      </x:c>
      <x:c r="G5" s="75" t="str">
        <x:f>IF($B5="比率",(D5-C5)*100,"—")</x:f>
        <x:v>—</x:v>
      </x:c>
      <x:c r="H5" s="76" t="n">
        <x:f>IF($B5="比率",(D5-C5)*100,(D5/C5-1)*100)</x:f>
        <x:v>12.080186188339015</x:v>
      </x:c>
      <x:c r="I5" s="18" t="str">
        <x:f>IFERROR(IF(INDEX('异常规则'!$F$5:$F$26,MATCH($A5,'异常规则'!$A$5:$A$26,0))="高于",IF($H5&gt;=INDEX('异常规则'!$E$5:$E$26,MATCH($A5,'异常规则'!$A$5:$A$26,0)),"预警",IF($H5&gt;=INDEX('异常规则'!$D$5:$D$26,MATCH($A5,'异常规则'!$A$5:$A$26,0)),"关注","正常")),IF($H5&lt;=INDEX('异常规则'!$E$5:$E$26,MATCH($A5,'异常规则'!$A$5:$A$26,0)),"预警",IF($H5&lt;=INDEX('异常规则'!$D$5:$D$26,MATCH($A5,'异常规则'!$A$5:$A$26,0)),"关注","正常"))),"未设规则")</x:f>
        <x:v>正常</x:v>
      </x:c>
      <x:c r="J5" s="17" t="str">
        <x:f>IF($I5="正常","—",IFERROR(INDEX('异常规则'!$G$5:$G$26,MATCH($A5,'异常规则'!$A$5:$A$26,0)),"未设规则"))</x:f>
        <x:v>—</x:v>
      </x:c>
      <x:c r="K5" s="17" t="str">
        <x:v>结合年报分部报告与季度数据判断增长来自哪些业务与地区。</x:v>
      </x:c>
    </x:row>
    <x:row r="6" ht="32" customHeight="1">
      <x:c r="A6" s="67" t="str">
        <x:v>营业成本</x:v>
      </x:c>
      <x:c r="B6" s="18" t="str">
        <x:v>金额</x:v>
      </x:c>
      <x:c r="C6" s="74" t="n">
        <x:f>'真实报表数据'!B7</x:f>
        <x:v>299584.935</x:v>
      </x:c>
      <x:c r="D6" s="74" t="n">
        <x:f>'真实报表数据'!C7</x:f>
        <x:v>335989.528</x:v>
      </x:c>
      <x:c r="E6" s="74" t="n">
        <x:f>IF($B6="比率","—",D6-C6)</x:f>
        <x:v>36404.59299999999</x:v>
      </x:c>
      <x:c r="F6" s="26" t="n">
        <x:f>IF($B6="比率","—",D6/C6-1)</x:f>
        <x:v>0.12151676785750265</x:v>
      </x:c>
      <x:c r="G6" s="75" t="str">
        <x:f>IF($B6="比率",(D6-C6)*100,"—")</x:f>
        <x:v>—</x:v>
      </x:c>
      <x:c r="H6" s="76" t="n">
        <x:f>IF($B6="比率",(D6-C6)*100,(D6/C6-1)*100)</x:f>
        <x:v>12.151676785750265</x:v>
      </x:c>
      <x:c r="I6" s="18" t="str">
        <x:f>IFERROR(IF(INDEX('异常规则'!$F$5:$F$26,MATCH($A6,'异常规则'!$A$5:$A$26,0))="高于",IF($H6&gt;=INDEX('异常规则'!$E$5:$E$26,MATCH($A6,'异常规则'!$A$5:$A$26,0)),"预警",IF($H6&gt;=INDEX('异常规则'!$D$5:$D$26,MATCH($A6,'异常规则'!$A$5:$A$26,0)),"关注","正常")),IF($H6&lt;=INDEX('异常规则'!$E$5:$E$26,MATCH($A6,'异常规则'!$A$5:$A$26,0)),"预警",IF($H6&lt;=INDEX('异常规则'!$D$5:$D$26,MATCH($A6,'异常规则'!$A$5:$A$26,0)),"关注","正常"))),"未设规则")</x:f>
        <x:v>正常</x:v>
      </x:c>
      <x:c r="J6" s="17" t="str">
        <x:f>IF($I6="正常","—",IFERROR(INDEX('异常规则'!$G$5:$G$26,MATCH($A6,'异常规则'!$A$5:$A$26,0)),"未设规则"))</x:f>
        <x:v>—</x:v>
      </x:c>
      <x:c r="K6" s="17" t="str">
        <x:v>核对营业成本构成、原材料价格与产品结构变化。</x:v>
      </x:c>
    </x:row>
    <x:row r="7" ht="32" customHeight="1">
      <x:c r="A7" s="67" t="str">
        <x:v>毛利额</x:v>
      </x:c>
      <x:c r="B7" s="18" t="str">
        <x:v>金额</x:v>
      </x:c>
      <x:c r="C7" s="74" t="n">
        <x:f>C5-C6</x:f>
        <x:v>109499.331</x:v>
      </x:c>
      <x:c r="D7" s="74" t="n">
        <x:f>D5-D6</x:f>
        <x:v>122512.87900000002</x:v>
      </x:c>
      <x:c r="E7" s="74" t="n">
        <x:f>IF($B7="比率","—",D7-C7)</x:f>
        <x:v>13013.54800000001</x:v>
      </x:c>
      <x:c r="F7" s="26" t="n">
        <x:f>IF($B7="比率","—",D7/C7-1)</x:f>
        <x:v>0.11884591331430161</x:v>
      </x:c>
      <x:c r="G7" s="75" t="str">
        <x:f>IF($B7="比率",(D7-C7)*100,"—")</x:f>
        <x:v>—</x:v>
      </x:c>
      <x:c r="H7" s="76" t="n">
        <x:f>IF($B7="比率",(D7-C7)*100,(D7/C7-1)*100)</x:f>
        <x:v>11.884591331430162</x:v>
      </x:c>
      <x:c r="I7" s="18" t="str">
        <x:f>IFERROR(IF(INDEX('异常规则'!$F$5:$F$26,MATCH($A7,'异常规则'!$A$5:$A$26,0))="高于",IF($H7&gt;=INDEX('异常规则'!$E$5:$E$26,MATCH($A7,'异常规则'!$A$5:$A$26,0)),"预警",IF($H7&gt;=INDEX('异常规则'!$D$5:$D$26,MATCH($A7,'异常规则'!$A$5:$A$26,0)),"关注","正常")),IF($H7&lt;=INDEX('异常规则'!$E$5:$E$26,MATCH($A7,'异常规则'!$A$5:$A$26,0)),"预警",IF($H7&lt;=INDEX('异常规则'!$D$5:$D$26,MATCH($A7,'异常规则'!$A$5:$A$26,0)),"关注","正常"))),"未设规则")</x:f>
        <x:v>正常</x:v>
      </x:c>
      <x:c r="J7" s="17" t="str">
        <x:f>IF($I7="正常","—",IFERROR(INDEX('异常规则'!$G$5:$G$26,MATCH($A7,'异常规则'!$A$5:$A$26,0)),"未设规则"))</x:f>
        <x:v>—</x:v>
      </x:c>
      <x:c r="K7" s="17" t="str">
        <x:v>—</x:v>
      </x:c>
    </x:row>
    <x:row r="8" ht="32" customHeight="1">
      <x:c r="A8" s="67" t="str">
        <x:v>毛利率</x:v>
      </x:c>
      <x:c r="B8" s="18" t="str">
        <x:v>比率</x:v>
      </x:c>
      <x:c r="C8" s="77" t="n">
        <x:f>C7/C5</x:f>
        <x:v>0.26766937792713835</x:v>
      </x:c>
      <x:c r="D8" s="77" t="n">
        <x:f>D7/D5</x:f>
        <x:v>0.2672022592020984</x:v>
      </x:c>
      <x:c r="E8" s="75" t="str">
        <x:f>IF($B8="比率","—",D8-C8)</x:f>
        <x:v>—</x:v>
      </x:c>
      <x:c r="F8" s="26" t="str">
        <x:f>IF($B8="比率","—",D8/C8-1)</x:f>
        <x:v>—</x:v>
      </x:c>
      <x:c r="G8" s="75" t="n">
        <x:f>IF($B8="比率",(D8-C8)*100,"—")</x:f>
        <x:v>-0.04671187250399611</x:v>
      </x:c>
      <x:c r="H8" s="78" t="n">
        <x:f>IF($B8="比率",(D8-C8)*100,(D8/C8-1)*100)</x:f>
        <x:v>-0.04671187250399611</x:v>
      </x:c>
      <x:c r="I8" s="18" t="str">
        <x:f>IFERROR(IF(INDEX('异常规则'!$F$5:$F$26,MATCH($A8,'异常规则'!$A$5:$A$26,0))="高于",IF($H8&gt;=INDEX('异常规则'!$E$5:$E$26,MATCH($A8,'异常规则'!$A$5:$A$26,0)),"预警",IF($H8&gt;=INDEX('异常规则'!$D$5:$D$26,MATCH($A8,'异常规则'!$A$5:$A$26,0)),"关注","正常")),IF($H8&lt;=INDEX('异常规则'!$E$5:$E$26,MATCH($A8,'异常规则'!$A$5:$A$26,0)),"预警",IF($H8&lt;=INDEX('异常规则'!$D$5:$D$26,MATCH($A8,'异常规则'!$A$5:$A$26,0)),"关注","正常"))),"未设规则")</x:f>
        <x:v>正常</x:v>
      </x:c>
      <x:c r="J8" s="17" t="str">
        <x:f>IF($I8="正常","—",IFERROR(INDEX('异常规则'!$G$5:$G$26,MATCH($A8,'异常规则'!$A$5:$A$26,0)),"未设规则"))</x:f>
        <x:v>—</x:v>
      </x:c>
      <x:c r="K8" s="17" t="str">
        <x:v>结合分产品毛利率与成本结构变化判断。</x:v>
      </x:c>
    </x:row>
    <x:row r="9" ht="32" customHeight="1">
      <x:c r="A9" s="67" t="str">
        <x:v>销售费用率</x:v>
      </x:c>
      <x:c r="B9" s="18" t="str">
        <x:v>比率</x:v>
      </x:c>
      <x:c r="C9" s="77" t="n">
        <x:f>'真实报表数据'!B8/'真实报表数据'!B6</x:f>
        <x:v>0.09473268033241836</x:v>
      </x:c>
      <x:c r="D9" s="77" t="n">
        <x:f>'真实报表数据'!C8/'真实报表数据'!C6</x:f>
        <x:v>0.09354692438942855</x:v>
      </x:c>
      <x:c r="E9" s="75" t="str">
        <x:f>IF($B9="比率","—",D9-C9)</x:f>
        <x:v>—</x:v>
      </x:c>
      <x:c r="F9" s="26" t="str">
        <x:f>IF($B9="比率","—",D9/C9-1)</x:f>
        <x:v>—</x:v>
      </x:c>
      <x:c r="G9" s="75" t="n">
        <x:f>IF($B9="比率",(D9-C9)*100,"—")</x:f>
        <x:v>-0.11857559429898079</x:v>
      </x:c>
      <x:c r="H9" s="78" t="n">
        <x:f>IF($B9="比率",(D9-C9)*100,(D9/C9-1)*100)</x:f>
        <x:v>-0.11857559429898079</x:v>
      </x:c>
      <x:c r="I9" s="18" t="str">
        <x:f>IFERROR(IF(INDEX('异常规则'!$F$5:$F$26,MATCH($A9,'异常规则'!$A$5:$A$26,0))="高于",IF($H9&gt;=INDEX('异常规则'!$E$5:$E$26,MATCH($A9,'异常规则'!$A$5:$A$26,0)),"预警",IF($H9&gt;=INDEX('异常规则'!$D$5:$D$26,MATCH($A9,'异常规则'!$A$5:$A$26,0)),"关注","正常")),IF($H9&lt;=INDEX('异常规则'!$E$5:$E$26,MATCH($A9,'异常规则'!$A$5:$A$26,0)),"预警",IF($H9&lt;=INDEX('异常规则'!$D$5:$D$26,MATCH($A9,'异常规则'!$A$5:$A$26,0)),"关注","正常"))),"未设规则")</x:f>
        <x:v>正常</x:v>
      </x:c>
      <x:c r="J9" s="17" t="str">
        <x:f>IF($I9="正常","—",IFERROR(INDEX('异常规则'!$G$5:$G$26,MATCH($A9,'异常规则'!$A$5:$A$26,0)),"未设规则"))</x:f>
        <x:v>—</x:v>
      </x:c>
      <x:c r="K9" s="17" t="str">
        <x:v>结合渠道结构、促销政策与销售费用明细。</x:v>
      </x:c>
    </x:row>
    <x:row r="10" ht="32" customHeight="1">
      <x:c r="A10" s="67" t="str">
        <x:v>管理费用率</x:v>
      </x:c>
      <x:c r="B10" s="18" t="str">
        <x:v>比率</x:v>
      </x:c>
      <x:c r="C10" s="77" t="n">
        <x:f>'真实报表数据'!B9/'真实报表数据'!B6</x:f>
        <x:v>0.03545935447930427</x:v>
      </x:c>
      <x:c r="D10" s="77" t="n">
        <x:f>'真实报表数据'!C9/'真实报表数据'!C6</x:f>
        <x:v>0.03509754966237287</x:v>
      </x:c>
      <x:c r="E10" s="75" t="str">
        <x:f>IF($B10="比率","—",D10-C10)</x:f>
        <x:v>—</x:v>
      </x:c>
      <x:c r="F10" s="26" t="str">
        <x:f>IF($B10="比率","—",D10/C10-1)</x:f>
        <x:v>—</x:v>
      </x:c>
      <x:c r="G10" s="75" t="n">
        <x:f>IF($B10="比率",(D10-C10)*100,"—")</x:f>
        <x:v>-0.03618048169313978</x:v>
      </x:c>
      <x:c r="H10" s="78" t="n">
        <x:f>IF($B10="比率",(D10-C10)*100,(D10/C10-1)*100)</x:f>
        <x:v>-0.03618048169313978</x:v>
      </x:c>
      <x:c r="I10" s="18" t="str">
        <x:f>IFERROR(IF(INDEX('异常规则'!$F$5:$F$26,MATCH($A10,'异常规则'!$A$5:$A$26,0))="高于",IF($H10&gt;=INDEX('异常规则'!$E$5:$E$26,MATCH($A10,'异常规则'!$A$5:$A$26,0)),"预警",IF($H10&gt;=INDEX('异常规则'!$D$5:$D$26,MATCH($A10,'异常规则'!$A$5:$A$26,0)),"关注","正常")),IF($H10&lt;=INDEX('异常规则'!$E$5:$E$26,MATCH($A10,'异常规则'!$A$5:$A$26,0)),"预警",IF($H10&lt;=INDEX('异常规则'!$D$5:$D$26,MATCH($A10,'异常规则'!$A$5:$A$26,0)),"关注","正常"))),"未设规则")</x:f>
        <x:v>正常</x:v>
      </x:c>
      <x:c r="J10" s="17" t="str">
        <x:f>IF($I10="正常","—",IFERROR(INDEX('异常规则'!$G$5:$G$26,MATCH($A10,'异常规则'!$A$5:$A$26,0)),"未设规则"))</x:f>
        <x:v>—</x:v>
      </x:c>
      <x:c r="K10" s="17" t="str">
        <x:v>结合管理人员规模与费用明细。</x:v>
      </x:c>
    </x:row>
    <x:row r="11" ht="32" customHeight="1">
      <x:c r="A11" s="67" t="str">
        <x:v>研发费用率</x:v>
      </x:c>
      <x:c r="B11" s="18" t="str">
        <x:v>比率</x:v>
      </x:c>
      <x:c r="C11" s="77" t="n">
        <x:f>'真实报表数据'!B10/'真实报表数据'!B6</x:f>
        <x:v>0.03968075125138154</x:v>
      </x:c>
      <x:c r="D11" s="77" t="n">
        <x:f>'真实报表数据'!C10/'真实报表数据'!C6</x:f>
        <x:v>0.03879505042598391</x:v>
      </x:c>
      <x:c r="E11" s="75" t="str">
        <x:f>IF($B11="比率","—",D11-C11)</x:f>
        <x:v>—</x:v>
      </x:c>
      <x:c r="F11" s="26" t="str">
        <x:f>IF($B11="比率","—",D11/C11-1)</x:f>
        <x:v>—</x:v>
      </x:c>
      <x:c r="G11" s="75" t="n">
        <x:f>IF($B11="比率",(D11-C11)*100,"—")</x:f>
        <x:v>-0.08857008253976284</x:v>
      </x:c>
      <x:c r="H11" s="78" t="n">
        <x:f>IF($B11="比率",(D11-C11)*100,(D11/C11-1)*100)</x:f>
        <x:v>-0.08857008253976284</x:v>
      </x:c>
      <x:c r="I11" s="18" t="str">
        <x:f>IFERROR(IF(INDEX('异常规则'!$F$5:$F$26,MATCH($A11,'异常规则'!$A$5:$A$26,0))="高于",IF($H11&gt;=INDEX('异常规则'!$E$5:$E$26,MATCH($A11,'异常规则'!$A$5:$A$26,0)),"预警",IF($H11&gt;=INDEX('异常规则'!$D$5:$D$26,MATCH($A11,'异常规则'!$A$5:$A$26,0)),"关注","正常")),IF($H11&lt;=INDEX('异常规则'!$E$5:$E$26,MATCH($A11,'异常规则'!$A$5:$A$26,0)),"预警",IF($H11&lt;=INDEX('异常规则'!$D$5:$D$26,MATCH($A11,'异常规则'!$A$5:$A$26,0)),"关注","正常"))),"未设规则")</x:f>
        <x:v>正常</x:v>
      </x:c>
      <x:c r="J11" s="17" t="str">
        <x:f>IF($I11="正常","—",IFERROR(INDEX('异常规则'!$G$5:$G$26,MATCH($A11,'异常规则'!$A$5:$A$26,0)),"未设规则"))</x:f>
        <x:v>—</x:v>
      </x:c>
      <x:c r="K11" s="17" t="str">
        <x:v>结合研发项目进度与研发支出资本化政策。</x:v>
      </x:c>
    </x:row>
    <x:row r="12" ht="32" customHeight="1">
      <x:c r="A12" s="67" t="str">
        <x:v>营业利润</x:v>
      </x:c>
      <x:c r="B12" s="18" t="str">
        <x:v>金额</x:v>
      </x:c>
      <x:c r="C12" s="74" t="n">
        <x:f>'真实报表数据'!B11</x:f>
        <x:v>46393.752</x:v>
      </x:c>
      <x:c r="D12" s="74" t="n">
        <x:f>'真实报表数据'!C11</x:f>
        <x:v>52978.773</x:v>
      </x:c>
      <x:c r="E12" s="74" t="n">
        <x:f>IF($B12="比率","—",D12-C12)</x:f>
        <x:v>6585.021000000001</x:v>
      </x:c>
      <x:c r="F12" s="26" t="n">
        <x:f>IF($B12="比率","—",D12/C12-1)</x:f>
        <x:v>0.14193766867573032</x:v>
      </x:c>
      <x:c r="G12" s="75" t="str">
        <x:f>IF($B12="比率",(D12-C12)*100,"—")</x:f>
        <x:v>—</x:v>
      </x:c>
      <x:c r="H12" s="76" t="n">
        <x:f>IF($B12="比率",(D12-C12)*100,(D12/C12-1)*100)</x:f>
        <x:v>14.193766867573032</x:v>
      </x:c>
      <x:c r="I12" s="18" t="str">
        <x:f>IFERROR(IF(INDEX('异常规则'!$F$5:$F$26,MATCH($A12,'异常规则'!$A$5:$A$26,0))="高于",IF($H12&gt;=INDEX('异常规则'!$E$5:$E$26,MATCH($A12,'异常规则'!$A$5:$A$26,0)),"预警",IF($H12&gt;=INDEX('异常规则'!$D$5:$D$26,MATCH($A12,'异常规则'!$A$5:$A$26,0)),"关注","正常")),IF($H12&lt;=INDEX('异常规则'!$E$5:$E$26,MATCH($A12,'异常规则'!$A$5:$A$26,0)),"预警",IF($H12&lt;=INDEX('异常规则'!$D$5:$D$26,MATCH($A12,'异常规则'!$A$5:$A$26,0)),"关注","正常"))),"未设规则")</x:f>
        <x:v>正常</x:v>
      </x:c>
      <x:c r="J12" s="17" t="str">
        <x:f>IF($I12="正常","—",IFERROR(INDEX('异常规则'!$G$5:$G$26,MATCH($A12,'异常规则'!$A$5:$A$26,0)),"未设规则"))</x:f>
        <x:v>—</x:v>
      </x:c>
      <x:c r="K12" s="17" t="str">
        <x:v>拆分主营业务利润与非经常性损益。</x:v>
      </x:c>
    </x:row>
    <x:row r="13" ht="32" customHeight="1">
      <x:c r="A13" s="67" t="str">
        <x:v>净利率</x:v>
      </x:c>
      <x:c r="B13" s="18" t="str">
        <x:v>比率</x:v>
      </x:c>
      <x:c r="C13" s="77" t="n">
        <x:f>'真实报表数据'!B12/'真实报表数据'!B6</x:f>
        <x:v>0.09474139491837606</x:v>
      </x:c>
      <x:c r="D13" s="77" t="n">
        <x:f>'真实报表数据'!C12/'真实报表数据'!C6</x:f>
        <x:v>0.09709915437804889</x:v>
      </x:c>
      <x:c r="E13" s="75" t="str">
        <x:f>IF($B13="比率","—",D13-C13)</x:f>
        <x:v>—</x:v>
      </x:c>
      <x:c r="F13" s="26" t="str">
        <x:f>IF($B13="比率","—",D13/C13-1)</x:f>
        <x:v>—</x:v>
      </x:c>
      <x:c r="G13" s="75" t="n">
        <x:f>IF($B13="比率",(D13-C13)*100,"—")</x:f>
        <x:v>0.23577594596728285</x:v>
      </x:c>
      <x:c r="H13" s="78" t="n">
        <x:f>IF($B13="比率",(D13-C13)*100,(D13/C13-1)*100)</x:f>
        <x:v>0.23577594596728285</x:v>
      </x:c>
      <x:c r="I13" s="18" t="str">
        <x:f>IFERROR(IF(INDEX('异常规则'!$F$5:$F$26,MATCH($A13,'异常规则'!$A$5:$A$26,0))="高于",IF($H13&gt;=INDEX('异常规则'!$E$5:$E$26,MATCH($A13,'异常规则'!$A$5:$A$26,0)),"预警",IF($H13&gt;=INDEX('异常规则'!$D$5:$D$26,MATCH($A13,'异常规则'!$A$5:$A$26,0)),"关注","正常")),IF($H13&lt;=INDEX('异常规则'!$E$5:$E$26,MATCH($A13,'异常规则'!$A$5:$A$26,0)),"预警",IF($H13&lt;=INDEX('异常规则'!$D$5:$D$26,MATCH($A13,'异常规则'!$A$5:$A$26,0)),"关注","正常"))),"未设规则")</x:f>
        <x:v>正常</x:v>
      </x:c>
      <x:c r="J13" s="17" t="str">
        <x:f>IF($I13="正常","—",IFERROR(INDEX('异常规则'!$G$5:$G$26,MATCH($A13,'异常规则'!$A$5:$A$26,0)),"未设规则"))</x:f>
        <x:v>—</x:v>
      </x:c>
      <x:c r="K13" s="17" t="str">
        <x:v>拆分非经常性损益、投资收益与所得税影响。</x:v>
      </x:c>
    </x:row>
    <x:row r="14" ht="32" customHeight="1">
      <x:c r="A14" s="67" t="str">
        <x:v>经营现金流率</x:v>
      </x:c>
      <x:c r="B14" s="18" t="str">
        <x:v>比率</x:v>
      </x:c>
      <x:c r="C14" s="77" t="n">
        <x:f>'真实报表数据'!B13/'真实报表数据'!B6</x:f>
        <x:v>0.1479195780167209</x:v>
      </x:c>
      <x:c r="D14" s="77" t="n">
        <x:f>'真实报表数据'!C13/'真实报表数据'!C6</x:f>
        <x:v>0.11634820054499735</x:v>
      </x:c>
      <x:c r="E14" s="75" t="str">
        <x:f>IF($B14="比率","—",D14-C14)</x:f>
        <x:v>—</x:v>
      </x:c>
      <x:c r="F14" s="26" t="str">
        <x:f>IF($B14="比率","—",D14/C14-1)</x:f>
        <x:v>—</x:v>
      </x:c>
      <x:c r="G14" s="75" t="n">
        <x:f>IF($B14="比率",(D14-C14)*100,"—")</x:f>
        <x:v>-3.1571377471723547</x:v>
      </x:c>
      <x:c r="H14" s="78" t="n">
        <x:f>IF($B14="比率",(D14-C14)*100,(D14/C14-1)*100)</x:f>
        <x:v>-3.1571377471723547</x:v>
      </x:c>
      <x:c r="I14" s="18" t="str">
        <x:f>IFERROR(IF(INDEX('异常规则'!$F$5:$F$26,MATCH($A14,'异常规则'!$A$5:$A$26,0))="高于",IF($H14&gt;=INDEX('异常规则'!$E$5:$E$26,MATCH($A14,'异常规则'!$A$5:$A$26,0)),"预警",IF($H14&gt;=INDEX('异常规则'!$D$5:$D$26,MATCH($A14,'异常规则'!$A$5:$A$26,0)),"关注","正常")),IF($H14&lt;=INDEX('异常规则'!$E$5:$E$26,MATCH($A14,'异常规则'!$A$5:$A$26,0)),"预警",IF($H14&lt;=INDEX('异常规则'!$D$5:$D$26,MATCH($A14,'异常规则'!$A$5:$A$26,0)),"关注","正常"))),"未设规则")</x:f>
        <x:v>关注</x:v>
      </x:c>
      <x:c r="J14" s="17" t="str">
        <x:f>IF($I14="正常","—",IFERROR(INDEX('异常规则'!$G$5:$G$26,MATCH($A14,'异常规则'!$A$5:$A$26,0)),"未设规则"))</x:f>
        <x:v>经营现金流率同比下降超过 2 个百分点</x:v>
      </x:c>
      <x:c r="K14" s="17" t="str">
        <x:v>回看现金流量表补充资料，拆分营运资本变动、税费与其他经营性项目。</x:v>
      </x:c>
    </x:row>
    <x:row r="15" ht="32" customHeight="1">
      <x:c r="A15" s="67" t="str">
        <x:v>应收账款</x:v>
      </x:c>
      <x:c r="B15" s="18" t="str">
        <x:v>金额</x:v>
      </x:c>
      <x:c r="C15" s="74" t="n">
        <x:f>'真实报表数据'!B14</x:f>
        <x:v>35798.974</x:v>
      </x:c>
      <x:c r="D15" s="74" t="n">
        <x:f>'真实报表数据'!C14</x:f>
        <x:v>40450.097</x:v>
      </x:c>
      <x:c r="E15" s="74" t="n">
        <x:f>IF($B15="比率","—",D15-C15)</x:f>
        <x:v>4651.123</x:v>
      </x:c>
      <x:c r="F15" s="26" t="n">
        <x:f>IF($B15="比率","—",D15/C15-1)</x:f>
        <x:v>0.1299233603734007</x:v>
      </x:c>
      <x:c r="G15" s="75" t="str">
        <x:f>IF($B15="比率",(D15-C15)*100,"—")</x:f>
        <x:v>—</x:v>
      </x:c>
      <x:c r="H15" s="76" t="n">
        <x:f>IF($B15="比率",(D15-C15)*100,(D15/C15-1)*100)</x:f>
        <x:v>12.992336037340069</x:v>
      </x:c>
      <x:c r="I15" s="18" t="str">
        <x:f>IFERROR(IF(INDEX('异常规则'!$F$5:$F$26,MATCH($A15,'异常规则'!$A$5:$A$26,0))="高于",IF($H15&gt;=INDEX('异常规则'!$E$5:$E$26,MATCH($A15,'异常规则'!$A$5:$A$26,0)),"预警",IF($H15&gt;=INDEX('异常规则'!$D$5:$D$26,MATCH($A15,'异常规则'!$A$5:$A$26,0)),"关注","正常")),IF($H15&lt;=INDEX('异常规则'!$E$5:$E$26,MATCH($A15,'异常规则'!$A$5:$A$26,0)),"预警",IF($H15&lt;=INDEX('异常规则'!$D$5:$D$26,MATCH($A15,'异常规则'!$A$5:$A$26,0)),"关注","正常"))),"未设规则")</x:f>
        <x:v>正常</x:v>
      </x:c>
      <x:c r="J15" s="17" t="str">
        <x:f>IF($I15="正常","—",IFERROR(INDEX('异常规则'!$G$5:$G$26,MATCH($A15,'异常规则'!$A$5:$A$26,0)),"未设规则"))</x:f>
        <x:v>—</x:v>
      </x:c>
      <x:c r="K15" s="17" t="str">
        <x:v>结合账龄、坏账准备、信用政策与应收款项融资规模。</x:v>
      </x:c>
    </x:row>
    <x:row r="16" ht="32" customHeight="1">
      <x:c r="A16" s="67" t="str">
        <x:v>应收账款/收入</x:v>
      </x:c>
      <x:c r="B16" s="18" t="str">
        <x:v>比率</x:v>
      </x:c>
      <x:c r="C16" s="77" t="n">
        <x:f>'真实报表数据'!B14/'真实报表数据'!B6</x:f>
        <x:v>0.08751002415722339</x:v>
      </x:c>
      <x:c r="D16" s="77" t="n">
        <x:f>'真实报表数据'!C14/'真实报表数据'!C6</x:f>
        <x:v>0.08822221297520909</x:v>
      </x:c>
      <x:c r="E16" s="75" t="str">
        <x:f>IF($B16="比率","—",D16-C16)</x:f>
        <x:v>—</x:v>
      </x:c>
      <x:c r="F16" s="26" t="str">
        <x:f>IF($B16="比率","—",D16/C16-1)</x:f>
        <x:v>—</x:v>
      </x:c>
      <x:c r="G16" s="75" t="n">
        <x:f>IF($B16="比率",(D16-C16)*100,"—")</x:f>
        <x:v>0.07121888179856956</x:v>
      </x:c>
      <x:c r="H16" s="78" t="n">
        <x:f>IF($B16="比率",(D16-C16)*100,(D16/C16-1)*100)</x:f>
        <x:v>0.07121888179856956</x:v>
      </x:c>
      <x:c r="I16" s="18" t="str">
        <x:f>IFERROR(IF(INDEX('异常规则'!$F$5:$F$26,MATCH($A16,'异常规则'!$A$5:$A$26,0))="高于",IF($H16&gt;=INDEX('异常规则'!$E$5:$E$26,MATCH($A16,'异常规则'!$A$5:$A$26,0)),"预警",IF($H16&gt;=INDEX('异常规则'!$D$5:$D$26,MATCH($A16,'异常规则'!$A$5:$A$26,0)),"关注","正常")),IF($H16&lt;=INDEX('异常规则'!$E$5:$E$26,MATCH($A16,'异常规则'!$A$5:$A$26,0)),"预警",IF($H16&lt;=INDEX('异常规则'!$D$5:$D$26,MATCH($A16,'异常规则'!$A$5:$A$26,0)),"关注","正常"))),"未设规则")</x:f>
        <x:v>正常</x:v>
      </x:c>
      <x:c r="J16" s="17" t="str">
        <x:f>IF($I16="正常","—",IFERROR(INDEX('异常规则'!$G$5:$G$26,MATCH($A16,'异常规则'!$A$5:$A$26,0)),"未设规则"))</x:f>
        <x:v>—</x:v>
      </x:c>
      <x:c r="K16" s="17" t="str">
        <x:v>同上，并考虑票据结算方式变化。</x:v>
      </x:c>
    </x:row>
    <x:row r="17" ht="32" customHeight="1">
      <x:c r="A17" s="67" t="str">
        <x:v>存货</x:v>
      </x:c>
      <x:c r="B17" s="18" t="str">
        <x:v>金额</x:v>
      </x:c>
      <x:c r="C17" s="74" t="n">
        <x:f>'真实报表数据'!B15</x:f>
        <x:v>63339.188</x:v>
      </x:c>
      <x:c r="D17" s="74" t="n">
        <x:f>'真实报表数据'!C15</x:f>
        <x:v>64628.834</x:v>
      </x:c>
      <x:c r="E17" s="74" t="n">
        <x:f>IF($B17="比率","—",D17-C17)</x:f>
        <x:v>1289.6460000000006</x:v>
      </x:c>
      <x:c r="F17" s="26" t="n">
        <x:f>IF($B17="比率","—",D17/C17-1)</x:f>
        <x:v>0.020360949369922388</x:v>
      </x:c>
      <x:c r="G17" s="75" t="str">
        <x:f>IF($B17="比率",(D17-C17)*100,"—")</x:f>
        <x:v>—</x:v>
      </x:c>
      <x:c r="H17" s="76" t="n">
        <x:f>IF($B17="比率",(D17-C17)*100,(D17/C17-1)*100)</x:f>
        <x:v>2.0360949369922388</x:v>
      </x:c>
      <x:c r="I17" s="18" t="str">
        <x:f>IFERROR(IF(INDEX('异常规则'!$F$5:$F$26,MATCH($A17,'异常规则'!$A$5:$A$26,0))="高于",IF($H17&gt;=INDEX('异常规则'!$E$5:$E$26,MATCH($A17,'异常规则'!$A$5:$A$26,0)),"预警",IF($H17&gt;=INDEX('异常规则'!$D$5:$D$26,MATCH($A17,'异常规则'!$A$5:$A$26,0)),"关注","正常")),IF($H17&lt;=INDEX('异常规则'!$E$5:$E$26,MATCH($A17,'异常规则'!$A$5:$A$26,0)),"预警",IF($H17&lt;=INDEX('异常规则'!$D$5:$D$26,MATCH($A17,'异常规则'!$A$5:$A$26,0)),"关注","正常"))),"未设规则")</x:f>
        <x:v>正常</x:v>
      </x:c>
      <x:c r="J17" s="17" t="str">
        <x:f>IF($I17="正常","—",IFERROR(INDEX('异常规则'!$G$5:$G$26,MATCH($A17,'异常规则'!$A$5:$A$26,0)),"未设规则"))</x:f>
        <x:v>—</x:v>
      </x:c>
      <x:c r="K17" s="17" t="str">
        <x:v>结合存货跌价准备、备货节奏与销售季节性。</x:v>
      </x:c>
    </x:row>
    <x:row r="18" ht="32" customHeight="1">
      <x:c r="A18" s="67" t="str">
        <x:v>应付账款</x:v>
      </x:c>
      <x:c r="B18" s="18" t="str">
        <x:v>金额</x:v>
      </x:c>
      <x:c r="C18" s="74" t="n">
        <x:f>'真实报表数据'!B16</x:f>
        <x:v>92800.426</x:v>
      </x:c>
      <x:c r="D18" s="74" t="n">
        <x:f>'真实报表数据'!C16</x:f>
        <x:v>103680.491</x:v>
      </x:c>
      <x:c r="E18" s="74" t="n">
        <x:f>IF($B18="比率","—",D18-C18)</x:f>
        <x:v>10880.064999999988</x:v>
      </x:c>
      <x:c r="F18" s="26" t="n">
        <x:f>IF($B18="比率","—",D18/C18-1)</x:f>
        <x:v>0.11724154154206134</x:v>
      </x:c>
      <x:c r="G18" s="75" t="str">
        <x:f>IF($B18="比率",(D18-C18)*100,"—")</x:f>
        <x:v>—</x:v>
      </x:c>
      <x:c r="H18" s="76" t="n">
        <x:f>IF($B18="比率",(D18-C18)*100,(D18/C18-1)*100)</x:f>
        <x:v>11.724154154206134</x:v>
      </x:c>
      <x:c r="I18" s="18" t="str">
        <x:f>IFERROR(IF(INDEX('异常规则'!$F$5:$F$26,MATCH($A18,'异常规则'!$A$5:$A$26,0))="高于",IF($H18&gt;=INDEX('异常规则'!$E$5:$E$26,MATCH($A18,'异常规则'!$A$5:$A$26,0)),"预警",IF($H18&gt;=INDEX('异常规则'!$D$5:$D$26,MATCH($A18,'异常规则'!$A$5:$A$26,0)),"关注","正常")),IF($H18&lt;=INDEX('异常规则'!$E$5:$E$26,MATCH($A18,'异常规则'!$A$5:$A$26,0)),"预警",IF($H18&lt;=INDEX('异常规则'!$D$5:$D$26,MATCH($A18,'异常规则'!$A$5:$A$26,0)),"关注","正常"))),"未设规则")</x:f>
        <x:v>正常</x:v>
      </x:c>
      <x:c r="J18" s="17" t="str">
        <x:f>IF($I18="正常","—",IFERROR(INDEX('异常规则'!$G$5:$G$26,MATCH($A18,'异常规则'!$A$5:$A$26,0)),"未设规则"))</x:f>
        <x:v>—</x:v>
      </x:c>
      <x:c r="K18" s="17" t="str">
        <x:v>结合采购规模、付款政策与应付票据。</x:v>
      </x:c>
    </x:row>
    <x:row r="19" ht="32" customHeight="1">
      <x:c r="A19" s="67" t="str">
        <x:v>货币资金</x:v>
      </x:c>
      <x:c r="B19" s="18" t="str">
        <x:v>金额</x:v>
      </x:c>
      <x:c r="C19" s="74" t="n">
        <x:f>'真实报表数据'!B17</x:f>
        <x:v>140410.308</x:v>
      </x:c>
      <x:c r="D19" s="74" t="n">
        <x:f>'真实报表数据'!C17</x:f>
        <x:v>85247.15</x:v>
      </x:c>
      <x:c r="E19" s="74" t="n">
        <x:f>IF($B19="比率","—",D19-C19)</x:f>
        <x:v>-55163.157999999996</x:v>
      </x:c>
      <x:c r="F19" s="26" t="n">
        <x:f>IF($B19="比率","—",D19/C19-1)</x:f>
        <x:v>-0.3928711416258698</x:v>
      </x:c>
      <x:c r="G19" s="75" t="str">
        <x:f>IF($B19="比率",(D19-C19)*100,"—")</x:f>
        <x:v>—</x:v>
      </x:c>
      <x:c r="H19" s="76" t="n">
        <x:f>IF($B19="比率",(D19-C19)*100,(D19/C19-1)*100)</x:f>
        <x:v>-39.28711416258698</x:v>
      </x:c>
      <x:c r="I19" s="18" t="str">
        <x:f>IFERROR(IF(INDEX('异常规则'!$F$5:$F$26,MATCH($A19,'异常规则'!$A$5:$A$26,0))="高于",IF($H19&gt;=INDEX('异常规则'!$E$5:$E$26,MATCH($A19,'异常规则'!$A$5:$A$26,0)),"预警",IF($H19&gt;=INDEX('异常规则'!$D$5:$D$26,MATCH($A19,'异常规则'!$A$5:$A$26,0)),"关注","正常")),IF($H19&lt;=INDEX('异常规则'!$E$5:$E$26,MATCH($A19,'异常规则'!$A$5:$A$26,0)),"预警",IF($H19&lt;=INDEX('异常规则'!$D$5:$D$26,MATCH($A19,'异常规则'!$A$5:$A$26,0)),"关注","正常"))),"未设规则")</x:f>
        <x:v>关注</x:v>
      </x:c>
      <x:c r="J19" s="17" t="str">
        <x:f>IF($I19="正常","—",IFERROR(INDEX('异常规则'!$G$5:$G$26,MATCH($A19,'异常规则'!$A$5:$A$26,0)),"未设规则"))</x:f>
        <x:v>货币资金同比下降超过 30%</x:v>
      </x:c>
      <x:c r="K19" s="17" t="str">
        <x:v>结合现金分红、理财与定期存款重分类、有息负债偿还及受限资金披露。</x:v>
      </x:c>
    </x:row>
    <x:row r="21" ht="30" customHeight="1">
      <x:c r="A21" s="5" t="str">
        <x:v>状态说明：正常＝未触发规则；关注＝监测值触及关注阈值；预警＝监测值触及预警阈值。阈值与规则说明见「异常规则」，修改阈值后本表与「经营分析看板」自动重算。</x:v>
      </x:c>
    </x:row>
  </x:sheetData>
  <x:mergeCells>
    <x:mergeCell ref="A2:K2"/>
    <x:mergeCell ref="A3:K3"/>
    <x:mergeCell ref="A21:K21"/>
  </x:mergeCells>
  <x:conditionalFormatting sqref="I5:I19">
    <x:cfRule type="containsText" dxfId="2" priority="1" operator="containsText" text="预警"/>
    <x:cfRule type="containsText" dxfId="3" priority="2" operator="containsText" text="关注"/>
    <x:cfRule type="containsText" dxfId="4" priority="3" operator="containsText" text="未设规则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E5C8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4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0" hidden="0" customWidth="1"/>
    <x:col min="8" max="8" width="40" hidden="0" customWidth="1"/>
  </x:cols>
  <x:sheetData>
    <x:row r="2">
      <x:c r="A2" s="2" t="str">
        <x:v>营运资本与现金质量</x:v>
      </x:c>
    </x:row>
    <x:row r="3" ht="30" customHeight="1">
      <x:c r="A3" s="5" t="str">
        <x:v>周转天数按期末余额计算（未使用期初期末平均余额）。应收账款为资产负债表「应收账款」项目，不含应收票据与应收款项融资。监测值与「异常规则」阈值同口径，状态判定见「异常规则」。</x:v>
      </x:c>
    </x:row>
    <x:row r="4" ht="28" customHeight="1">
      <x:c r="A4" s="11" t="str">
        <x:v>指标</x:v>
      </x:c>
      <x:c r="B4" s="12" t="str">
        <x:v>计算口径</x:v>
      </x:c>
      <x:c r="C4" s="12" t="str">
        <x:v>2024</x:v>
      </x:c>
      <x:c r="D4" s="12" t="str">
        <x:v>2025</x:v>
      </x:c>
      <x:c r="E4" s="12" t="str">
        <x:v>变化</x:v>
      </x:c>
      <x:c r="F4" s="12" t="str">
        <x:v>监测值</x:v>
      </x:c>
      <x:c r="G4" s="12" t="str">
        <x:v>状态</x:v>
      </x:c>
      <x:c r="H4" s="13" t="str">
        <x:v>触发规则</x:v>
      </x:c>
    </x:row>
    <x:row r="5" ht="30" customHeight="1">
      <x:c r="A5" s="17" t="str">
        <x:v>现金含量</x:v>
      </x:c>
      <x:c r="B5" s="89" t="str">
        <x:v>经营活动现金流净额 ÷ 净利润</x:v>
      </x:c>
      <x:c r="C5" s="75" t="n">
        <x:f>'真实报表数据'!B13/'真实报表数据'!B12</x:f>
        <x:v>1.5612982914613005</x:v>
      </x:c>
      <x:c r="D5" s="75" t="n">
        <x:f>'真实报表数据'!C13/'真实报表数据'!C12</x:f>
        <x:v>1.1982411308341947</x:v>
      </x:c>
      <x:c r="E5" s="75" t="n">
        <x:f>D5-C5</x:f>
        <x:v>-0.3630571606271058</x:v>
      </x:c>
      <x:c r="F5" s="75" t="n">
        <x:f>IF(INDEX('异常规则'!$B$5:$B$26,MATCH($A5,'异常规则'!$A$5:$A$26,0))="比率",E5*100,E5)</x:f>
        <x:v>-0.3630571606271058</x:v>
      </x:c>
      <x:c r="G5" s="18" t="str">
        <x:f>IFERROR(IF(INDEX('异常规则'!$F$5:$F$26,MATCH($A5,'异常规则'!$A$5:$A$26,0))="高于",IF($F5&gt;=INDEX('异常规则'!$E$5:$E$26,MATCH($A5,'异常规则'!$A$5:$A$26,0)),"预警",IF($F5&gt;=INDEX('异常规则'!$D$5:$D$26,MATCH($A5,'异常规则'!$A$5:$A$26,0)),"关注","正常")),IF($F5&lt;=INDEX('异常规则'!$E$5:$E$26,MATCH($A5,'异常规则'!$A$5:$A$26,0)),"预警",IF($F5&lt;=INDEX('异常规则'!$D$5:$D$26,MATCH($A5,'异常规则'!$A$5:$A$26,0)),"关注","正常"))),"未设规则")</x:f>
        <x:v>关注</x:v>
      </x:c>
      <x:c r="H5" s="17" t="str">
        <x:f>IF($G5="正常","—",IFERROR(INDEX('异常规则'!$G$5:$G$26,MATCH($A5,'异常规则'!$A$5:$A$26,0)),"未设规则"))</x:f>
        <x:v>现金含量同比下降超过 0.3 倍</x:v>
      </x:c>
    </x:row>
    <x:row r="6" ht="30" customHeight="1">
      <x:c r="A6" s="17" t="str">
        <x:v>三费占收入比</x:v>
      </x:c>
      <x:c r="B6" s="89" t="str">
        <x:v>（销售费用＋管理费用＋研发费用）÷ 营业总收入</x:v>
      </x:c>
      <x:c r="C6" s="77" t="n">
        <x:f>('真实报表数据'!B8+'真实报表数据'!B9+'真实报表数据'!B10)/'真实报表数据'!B6</x:f>
        <x:v>0.16987278606310416</x:v>
      </x:c>
      <x:c r="D6" s="77" t="n">
        <x:f>('真实报表数据'!C8+'真实报表数据'!C9+'真实报表数据'!C10)/'真实报表数据'!C6</x:f>
        <x:v>0.16743952447778535</x:v>
      </x:c>
      <x:c r="E6" s="77" t="n">
        <x:f>D6-C6</x:f>
        <x:v>-0.0024332615853188133</x:v>
      </x:c>
      <x:c r="F6" s="78" t="n">
        <x:f>IF(INDEX('异常规则'!$B$5:$B$26,MATCH($A6,'异常规则'!$A$5:$A$26,0))="比率",E6*100,E6)</x:f>
        <x:v>-0.24332615853188133</x:v>
      </x:c>
      <x:c r="G6" s="18" t="str">
        <x:f>IFERROR(IF(INDEX('异常规则'!$F$5:$F$26,MATCH($A6,'异常规则'!$A$5:$A$26,0))="高于",IF($F6&gt;=INDEX('异常规则'!$E$5:$E$26,MATCH($A6,'异常规则'!$A$5:$A$26,0)),"预警",IF($F6&gt;=INDEX('异常规则'!$D$5:$D$26,MATCH($A6,'异常规则'!$A$5:$A$26,0)),"关注","正常")),IF($F6&lt;=INDEX('异常规则'!$E$5:$E$26,MATCH($A6,'异常规则'!$A$5:$A$26,0)),"预警",IF($F6&lt;=INDEX('异常规则'!$D$5:$D$26,MATCH($A6,'异常规则'!$A$5:$A$26,0)),"关注","正常"))),"未设规则")</x:f>
        <x:v>正常</x:v>
      </x:c>
      <x:c r="H6" s="17" t="str">
        <x:f>IF($G6="正常","—",IFERROR(INDEX('异常规则'!$G$5:$G$26,MATCH($A6,'异常规则'!$A$5:$A$26,0)),"未设规则"))</x:f>
        <x:v>—</x:v>
      </x:c>
    </x:row>
    <x:row r="7" ht="30" customHeight="1">
      <x:c r="A7" s="17" t="str">
        <x:v>应收账款周转天数</x:v>
      </x:c>
      <x:c r="B7" s="89" t="str">
        <x:v>应收账款 ÷ 营业总收入 × 365</x:v>
      </x:c>
      <x:c r="C7" s="90" t="n">
        <x:f>'真实报表数据'!B14/'真实报表数据'!B6*365</x:f>
        <x:v>31.941158817386537</x:v>
      </x:c>
      <x:c r="D7" s="90" t="n">
        <x:f>'真实报表数据'!C14/'真实报表数据'!C6*365</x:f>
        <x:v>32.20110773595132</x:v>
      </x:c>
      <x:c r="E7" s="90" t="n">
        <x:f>D7-C7</x:f>
        <x:v>0.2599489185647812</x:v>
      </x:c>
      <x:c r="F7" s="90" t="n">
        <x:f>IF(INDEX('异常规则'!$B$5:$B$26,MATCH($A7,'异常规则'!$A$5:$A$26,0))="比率",E7*100,E7)</x:f>
        <x:v>0.2599489185647812</x:v>
      </x:c>
      <x:c r="G7" s="18" t="str">
        <x:f>IFERROR(IF(INDEX('异常规则'!$F$5:$F$26,MATCH($A7,'异常规则'!$A$5:$A$26,0))="高于",IF($F7&gt;=INDEX('异常规则'!$E$5:$E$26,MATCH($A7,'异常规则'!$A$5:$A$26,0)),"预警",IF($F7&gt;=INDEX('异常规则'!$D$5:$D$26,MATCH($A7,'异常规则'!$A$5:$A$26,0)),"关注","正常")),IF($F7&lt;=INDEX('异常规则'!$E$5:$E$26,MATCH($A7,'异常规则'!$A$5:$A$26,0)),"预警",IF($F7&lt;=INDEX('异常规则'!$D$5:$D$26,MATCH($A7,'异常规则'!$A$5:$A$26,0)),"关注","正常"))),"未设规则")</x:f>
        <x:v>正常</x:v>
      </x:c>
      <x:c r="H7" s="17" t="str">
        <x:f>IF($G7="正常","—",IFERROR(INDEX('异常规则'!$G$5:$G$26,MATCH($A7,'异常规则'!$A$5:$A$26,0)),"未设规则"))</x:f>
        <x:v>—</x:v>
      </x:c>
    </x:row>
    <x:row r="8" ht="30" customHeight="1">
      <x:c r="A8" s="17" t="str">
        <x:v>存货周转天数</x:v>
      </x:c>
      <x:c r="B8" s="89" t="str">
        <x:v>存货 ÷ 营业成本 × 365</x:v>
      </x:c>
      <x:c r="C8" s="90" t="n">
        <x:f>'真实报表数据'!B15/'真实报表数据'!B7*365</x:f>
        <x:v>77.16944652106756</x:v>
      </x:c>
      <x:c r="D8" s="90" t="n">
        <x:f>'真实报表数据'!C15/'真实报表数据'!C7*365</x:f>
        <x:v>70.20910607071063</x:v>
      </x:c>
      <x:c r="E8" s="90" t="n">
        <x:f>D8-C8</x:f>
        <x:v>-6.960340450356924</x:v>
      </x:c>
      <x:c r="F8" s="90" t="n">
        <x:f>IF(INDEX('异常规则'!$B$5:$B$26,MATCH($A8,'异常规则'!$A$5:$A$26,0))="比率",E8*100,E8)</x:f>
        <x:v>-6.960340450356924</x:v>
      </x:c>
      <x:c r="G8" s="18" t="str">
        <x:f>IFERROR(IF(INDEX('异常规则'!$F$5:$F$26,MATCH($A8,'异常规则'!$A$5:$A$26,0))="高于",IF($F8&gt;=INDEX('异常规则'!$E$5:$E$26,MATCH($A8,'异常规则'!$A$5:$A$26,0)),"预警",IF($F8&gt;=INDEX('异常规则'!$D$5:$D$26,MATCH($A8,'异常规则'!$A$5:$A$26,0)),"关注","正常")),IF($F8&lt;=INDEX('异常规则'!$E$5:$E$26,MATCH($A8,'异常规则'!$A$5:$A$26,0)),"预警",IF($F8&lt;=INDEX('异常规则'!$D$5:$D$26,MATCH($A8,'异常规则'!$A$5:$A$26,0)),"关注","正常"))),"未设规则")</x:f>
        <x:v>正常</x:v>
      </x:c>
      <x:c r="H8" s="17" t="str">
        <x:f>IF($G8="正常","—",IFERROR(INDEX('异常规则'!$G$5:$G$26,MATCH($A8,'异常规则'!$A$5:$A$26,0)),"未设规则"))</x:f>
        <x:v>—</x:v>
      </x:c>
    </x:row>
    <x:row r="9" ht="30" customHeight="1">
      <x:c r="A9" s="17" t="str">
        <x:v>应付账款周转天数</x:v>
      </x:c>
      <x:c r="B9" s="89" t="str">
        <x:v>应付账款 ÷ 营业成本 × 365</x:v>
      </x:c>
      <x:c r="C9" s="90" t="n">
        <x:f>'真实报表数据'!B16/'真实报表数据'!B7*365</x:f>
        <x:v>113.06361412999622</x:v>
      </x:c>
      <x:c r="D9" s="90" t="n">
        <x:f>'真实报表数据'!C16/'真实报表数据'!C7*365</x:f>
        <x:v>112.63261518972102</x:v>
      </x:c>
      <x:c r="E9" s="90" t="n">
        <x:f>D9-C9</x:f>
        <x:v>-0.43099894027520236</x:v>
      </x:c>
      <x:c r="F9" s="90" t="n">
        <x:f>IF(INDEX('异常规则'!$B$5:$B$26,MATCH($A9,'异常规则'!$A$5:$A$26,0))="比率",E9*100,E9)</x:f>
        <x:v>-0.43099894027520236</x:v>
      </x:c>
      <x:c r="G9" s="18" t="str">
        <x:f>IFERROR(IF(INDEX('异常规则'!$F$5:$F$26,MATCH($A9,'异常规则'!$A$5:$A$26,0))="高于",IF($F9&gt;=INDEX('异常规则'!$E$5:$E$26,MATCH($A9,'异常规则'!$A$5:$A$26,0)),"预警",IF($F9&gt;=INDEX('异常规则'!$D$5:$D$26,MATCH($A9,'异常规则'!$A$5:$A$26,0)),"关注","正常")),IF($F9&lt;=INDEX('异常规则'!$E$5:$E$26,MATCH($A9,'异常规则'!$A$5:$A$26,0)),"预警",IF($F9&lt;=INDEX('异常规则'!$D$5:$D$26,MATCH($A9,'异常规则'!$A$5:$A$26,0)),"关注","正常"))),"未设规则")</x:f>
        <x:v>正常</x:v>
      </x:c>
      <x:c r="H9" s="17" t="str">
        <x:f>IF($G9="正常","—",IFERROR(INDEX('异常规则'!$G$5:$G$26,MATCH($A9,'异常规则'!$A$5:$A$26,0)),"未设规则"))</x:f>
        <x:v>—</x:v>
      </x:c>
    </x:row>
    <x:row r="10" ht="30" customHeight="1">
      <x:c r="A10" s="17" t="str">
        <x:v>现金转换周期</x:v>
      </x:c>
      <x:c r="B10" s="89" t="str">
        <x:v>应收账款周转天数 ＋ 存货周转天数 − 应付账款周转天数</x:v>
      </x:c>
      <x:c r="C10" s="90" t="n">
        <x:f>C7+C8-C9</x:f>
        <x:v>-3.953008791542132</x:v>
      </x:c>
      <x:c r="D10" s="90" t="n">
        <x:f>D7+D8-D9</x:f>
        <x:v>-10.22240138305908</x:v>
      </x:c>
      <x:c r="E10" s="90" t="n">
        <x:f>D10-C10</x:f>
        <x:v>-6.269392591516947</x:v>
      </x:c>
      <x:c r="F10" s="90" t="n">
        <x:f>IF(INDEX('异常规则'!$B$5:$B$26,MATCH($A10,'异常规则'!$A$5:$A$26,0))="比率",E10*100,E10)</x:f>
        <x:v>-6.269392591516947</x:v>
      </x:c>
      <x:c r="G10" s="18" t="str">
        <x:f>IFERROR(IF(INDEX('异常规则'!$F$5:$F$26,MATCH($A10,'异常规则'!$A$5:$A$26,0))="高于",IF($F10&gt;=INDEX('异常规则'!$E$5:$E$26,MATCH($A10,'异常规则'!$A$5:$A$26,0)),"预警",IF($F10&gt;=INDEX('异常规则'!$D$5:$D$26,MATCH($A10,'异常规则'!$A$5:$A$26,0)),"关注","正常")),IF($F10&lt;=INDEX('异常规则'!$E$5:$E$26,MATCH($A10,'异常规则'!$A$5:$A$26,0)),"预警",IF($F10&lt;=INDEX('异常规则'!$D$5:$D$26,MATCH($A10,'异常规则'!$A$5:$A$26,0)),"关注","正常"))),"未设规则")</x:f>
        <x:v>正常</x:v>
      </x:c>
      <x:c r="H10" s="17" t="str">
        <x:f>IF($G10="正常","—",IFERROR(INDEX('异常规则'!$G$5:$G$26,MATCH($A10,'异常规则'!$A$5:$A$26,0)),"未设规则"))</x:f>
        <x:v>—</x:v>
      </x:c>
    </x:row>
    <x:row r="11" ht="30" customHeight="1">
      <x:c r="A11" s="17" t="str">
        <x:v>总资产周转率</x:v>
      </x:c>
      <x:c r="B11" s="89" t="str">
        <x:v>营业总收入 ÷ 资产总计</x:v>
      </x:c>
      <x:c r="C11" s="91" t="n">
        <x:f>'真实报表数据'!B6/'真实报表数据'!B18</x:f>
        <x:v>0.6768975125488694</x:v>
      </x:c>
      <x:c r="D11" s="91" t="n">
        <x:f>'真实报表数据'!C6/'真实报表数据'!C18</x:f>
        <x:v>0.7531350333670578</x:v>
      </x:c>
      <x:c r="E11" s="91" t="n">
        <x:f>D11-C11</x:f>
        <x:v>0.07623752081818835</x:v>
      </x:c>
      <x:c r="F11" s="91" t="n">
        <x:f>IF(INDEX('异常规则'!$B$5:$B$26,MATCH($A11,'异常规则'!$A$5:$A$26,0))="比率",E11*100,E11)</x:f>
        <x:v>0.07623752081818835</x:v>
      </x:c>
      <x:c r="G11" s="18" t="str">
        <x:f>IFERROR(IF(INDEX('异常规则'!$F$5:$F$26,MATCH($A11,'异常规则'!$A$5:$A$26,0))="高于",IF($F11&gt;=INDEX('异常规则'!$E$5:$E$26,MATCH($A11,'异常规则'!$A$5:$A$26,0)),"预警",IF($F11&gt;=INDEX('异常规则'!$D$5:$D$26,MATCH($A11,'异常规则'!$A$5:$A$26,0)),"关注","正常")),IF($F11&lt;=INDEX('异常规则'!$E$5:$E$26,MATCH($A11,'异常规则'!$A$5:$A$26,0)),"预警",IF($F11&lt;=INDEX('异常规则'!$D$5:$D$26,MATCH($A11,'异常规则'!$A$5:$A$26,0)),"关注","正常"))),"未设规则")</x:f>
        <x:v>正常</x:v>
      </x:c>
      <x:c r="H11" s="17" t="str">
        <x:f>IF($G11="正常","—",IFERROR(INDEX('异常规则'!$G$5:$G$26,MATCH($A11,'异常规则'!$A$5:$A$26,0)),"未设规则"))</x:f>
        <x:v>—</x:v>
      </x:c>
    </x:row>
    <x:row r="13" ht="22" customHeight="1">
      <x:c r="A13" s="35" t="str">
        <x:v>分析结论</x:v>
      </x:c>
      <x:c r="B13" s="36" t="str">
        <x:v>分析结论</x:v>
      </x:c>
      <x:c r="C13" s="36" t="str">
        <x:v>分析结论</x:v>
      </x:c>
      <x:c r="D13" s="36" t="str">
        <x:v>分析结论</x:v>
      </x:c>
      <x:c r="E13" s="36" t="str">
        <x:v>分析结论</x:v>
      </x:c>
      <x:c r="F13" s="36" t="str">
        <x:v>分析结论</x:v>
      </x:c>
      <x:c r="G13" s="36" t="str">
        <x:v>分析结论</x:v>
      </x:c>
      <x:c r="H13" s="37" t="str">
        <x:v>分析结论</x:v>
      </x:c>
    </x:row>
    <x:row r="14" ht="30" customHeight="1">
      <x:c r="A14" s="94" t="str">
        <x:f>"营运资本效率改善：现金转换周期由 "&amp;TEXT(C10,"0.0")&amp;" 天变为 "&amp;TEXT(D10,"0.0")&amp;" 天，主要来自存货周转天数下降 "&amp;TEXT(C8-D8,"0.0")&amp;" 天。"</x:f>
        <x:v>营运资本效率改善：现金转换周期由 -4.0 天变为 -10.2 天，主要来自存货周转天数下降 7.0 天。</x:v>
      </x:c>
      <x:c r="B14" s="94"/>
      <x:c r="C14" s="94"/>
      <x:c r="D14" s="94"/>
      <x:c r="E14" s="94"/>
      <x:c r="F14" s="94"/>
      <x:c r="G14" s="94"/>
      <x:c r="H14" s="94"/>
    </x:row>
    <x:row r="15" ht="30" customHeight="1">
      <x:c r="A15" s="94" t="str">
        <x:f>"但经营活动现金流净额同比下降 "&amp;TEXT(-'真实报表数据'!D13,"0.0%")&amp;"，现金含量由 "&amp;TEXT(C5,"0.00")&amp;" 倍降至 "&amp;TEXT(D5,"0.00")&amp;" 倍。两项方向不一致，现金流出变化可能来自营运资本以外的项目。"</x:f>
        <x:v>但经营活动现金流净额同比下降 11.8%，现金含量由 1.56 倍降至 1.20 倍。两项方向不一致，现金流出变化可能来自营运资本以外的项目。</x:v>
      </x:c>
      <x:c r="B15" s="94"/>
      <x:c r="C15" s="94"/>
      <x:c r="D15" s="94"/>
      <x:c r="E15" s="94"/>
      <x:c r="F15" s="94"/>
      <x:c r="G15" s="94"/>
      <x:c r="H15" s="94"/>
    </x:row>
    <x:row r="17" ht="30" customHeight="1">
      <x:c r="A17" s="5" t="str">
        <x:v>口径限制：周转天数按期末余额计算，与使用平均余额的通用算法存在差异；应收账款不含应收票据与应收款项融资，与含票据口径的周转天数不可直接比较。</x:v>
      </x:c>
    </x:row>
  </x:sheetData>
  <x:mergeCells>
    <x:mergeCell ref="A2:H2"/>
    <x:mergeCell ref="A3:H3"/>
    <x:mergeCell ref="A13:H13"/>
    <x:mergeCell ref="A14:H14"/>
    <x:mergeCell ref="A15:H15"/>
    <x:mergeCell ref="A17:H17"/>
  </x:mergeCells>
  <x:conditionalFormatting sqref="G5:G11">
    <x:cfRule type="containsText" dxfId="5" priority="1" operator="containsText" text="预警"/>
    <x:cfRule type="containsText" dxfId="6" priority="2" operator="containsText" text="关注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DB8D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8" hidden="0" customWidth="1"/>
    <x:col min="3" max="3" width="22" hidden="0" customWidth="1"/>
    <x:col min="4" max="4" width="11" hidden="0" customWidth="1"/>
    <x:col min="5" max="5" width="11" hidden="0" customWidth="1"/>
    <x:col min="6" max="6" width="8" hidden="0" customWidth="1"/>
    <x:col min="7" max="7" width="42" hidden="0" customWidth="1"/>
  </x:cols>
  <x:sheetData>
    <x:row r="2">
      <x:c r="A2" s="2" t="str">
        <x:v>异常规则与阈值</x:v>
      </x:c>
    </x:row>
    <x:row r="3" ht="32" customHeight="1">
      <x:c r="A3" s="5" t="str">
        <x:v>黄底单元格为可编辑阈值。判定：监测值触及关注阈值→关注；触及预警阈值→预警。监测值口径见「监测口径」列，与「指标分析」「营运资本与现金质量」的监测值同口径。</x:v>
      </x:c>
    </x:row>
    <x:row r="4" ht="28" customHeight="1">
      <x:c r="A4" s="11" t="str">
        <x:v>指标</x:v>
      </x:c>
      <x:c r="B4" s="12" t="str">
        <x:v>类型</x:v>
      </x:c>
      <x:c r="C4" s="12" t="str">
        <x:v>监测口径</x:v>
      </x:c>
      <x:c r="D4" s="12" t="str">
        <x:v>关注阈值</x:v>
      </x:c>
      <x:c r="E4" s="12" t="str">
        <x:v>预警阈值</x:v>
      </x:c>
      <x:c r="F4" s="12" t="str">
        <x:v>方向</x:v>
      </x:c>
      <x:c r="G4" s="13" t="str">
        <x:v>规则说明</x:v>
      </x:c>
    </x:row>
    <x:row r="5" ht="26" customHeight="1">
      <x:c r="A5" s="18" t="str">
        <x:v>营业总收入</x:v>
      </x:c>
      <x:c r="B5" s="18" t="str">
        <x:v>金额</x:v>
      </x:c>
      <x:c r="C5" s="18" t="str">
        <x:v>%（同比变化率）</x:v>
      </x:c>
      <x:c r="D5" s="22" t="n">
        <x:v>-5</x:v>
      </x:c>
      <x:c r="E5" s="22" t="n">
        <x:v>-10</x:v>
      </x:c>
      <x:c r="F5" s="18" t="str">
        <x:v>低于</x:v>
      </x:c>
      <x:c r="G5" s="17" t="str">
        <x:v>收入同比下降超过 5%</x:v>
      </x:c>
    </x:row>
    <x:row r="6" ht="26" customHeight="1">
      <x:c r="A6" s="18" t="str">
        <x:v>营业成本</x:v>
      </x:c>
      <x:c r="B6" s="18" t="str">
        <x:v>金额</x:v>
      </x:c>
      <x:c r="C6" s="18" t="str">
        <x:v>%（同比变化率）</x:v>
      </x:c>
      <x:c r="D6" s="22" t="n">
        <x:v>15</x:v>
      </x:c>
      <x:c r="E6" s="22" t="n">
        <x:v>20</x:v>
      </x:c>
      <x:c r="F6" s="18" t="str">
        <x:v>高于</x:v>
      </x:c>
      <x:c r="G6" s="17" t="str">
        <x:v>营业成本同比增长超过 15%</x:v>
      </x:c>
    </x:row>
    <x:row r="7" ht="26" customHeight="1">
      <x:c r="A7" s="18" t="str">
        <x:v>毛利额</x:v>
      </x:c>
      <x:c r="B7" s="18" t="str">
        <x:v>金额</x:v>
      </x:c>
      <x:c r="C7" s="18" t="str">
        <x:v>%（同比变化率）</x:v>
      </x:c>
      <x:c r="D7" s="22" t="n">
        <x:v>-5</x:v>
      </x:c>
      <x:c r="E7" s="22" t="n">
        <x:v>-10</x:v>
      </x:c>
      <x:c r="F7" s="18" t="str">
        <x:v>低于</x:v>
      </x:c>
      <x:c r="G7" s="17" t="str">
        <x:v>毛利额同比下降超过 5%</x:v>
      </x:c>
    </x:row>
    <x:row r="8" ht="26" customHeight="1">
      <x:c r="A8" s="18" t="str">
        <x:v>毛利率</x:v>
      </x:c>
      <x:c r="B8" s="18" t="str">
        <x:v>比率</x:v>
      </x:c>
      <x:c r="C8" s="18" t="str">
        <x:v>pp（百分点变化）</x:v>
      </x:c>
      <x:c r="D8" s="22" t="n">
        <x:v>-1</x:v>
      </x:c>
      <x:c r="E8" s="22" t="n">
        <x:v>-2</x:v>
      </x:c>
      <x:c r="F8" s="18" t="str">
        <x:v>低于</x:v>
      </x:c>
      <x:c r="G8" s="17" t="str">
        <x:v>毛利率同比下降超过 1 个百分点</x:v>
      </x:c>
    </x:row>
    <x:row r="9" ht="26" customHeight="1">
      <x:c r="A9" s="18" t="str">
        <x:v>销售费用率</x:v>
      </x:c>
      <x:c r="B9" s="18" t="str">
        <x:v>比率</x:v>
      </x:c>
      <x:c r="C9" s="18" t="str">
        <x:v>pp（百分点变化）</x:v>
      </x:c>
      <x:c r="D9" s="22" t="n">
        <x:v>1</x:v>
      </x:c>
      <x:c r="E9" s="22" t="n">
        <x:v>2</x:v>
      </x:c>
      <x:c r="F9" s="18" t="str">
        <x:v>高于</x:v>
      </x:c>
      <x:c r="G9" s="17" t="str">
        <x:v>销售费用率同比上升超过 1 个百分点</x:v>
      </x:c>
    </x:row>
    <x:row r="10" ht="26" customHeight="1">
      <x:c r="A10" s="18" t="str">
        <x:v>管理费用率</x:v>
      </x:c>
      <x:c r="B10" s="18" t="str">
        <x:v>比率</x:v>
      </x:c>
      <x:c r="C10" s="18" t="str">
        <x:v>pp（百分点变化）</x:v>
      </x:c>
      <x:c r="D10" s="22" t="n">
        <x:v>1</x:v>
      </x:c>
      <x:c r="E10" s="22" t="n">
        <x:v>2</x:v>
      </x:c>
      <x:c r="F10" s="18" t="str">
        <x:v>高于</x:v>
      </x:c>
      <x:c r="G10" s="17" t="str">
        <x:v>管理费用率同比上升超过 1 个百分点</x:v>
      </x:c>
    </x:row>
    <x:row r="11" ht="26" customHeight="1">
      <x:c r="A11" s="18" t="str">
        <x:v>研发费用率</x:v>
      </x:c>
      <x:c r="B11" s="18" t="str">
        <x:v>比率</x:v>
      </x:c>
      <x:c r="C11" s="18" t="str">
        <x:v>pp（百分点变化）</x:v>
      </x:c>
      <x:c r="D11" s="22" t="n">
        <x:v>-0.5</x:v>
      </x:c>
      <x:c r="E11" s="22" t="n">
        <x:v>-1</x:v>
      </x:c>
      <x:c r="F11" s="18" t="str">
        <x:v>低于</x:v>
      </x:c>
      <x:c r="G11" s="17" t="str">
        <x:v>研发费用率同比下降超过 0.5 个百分点</x:v>
      </x:c>
    </x:row>
    <x:row r="12" ht="26" customHeight="1">
      <x:c r="A12" s="18" t="str">
        <x:v>营业利润</x:v>
      </x:c>
      <x:c r="B12" s="18" t="str">
        <x:v>金额</x:v>
      </x:c>
      <x:c r="C12" s="18" t="str">
        <x:v>%（同比变化率）</x:v>
      </x:c>
      <x:c r="D12" s="22" t="n">
        <x:v>-5</x:v>
      </x:c>
      <x:c r="E12" s="22" t="n">
        <x:v>-10</x:v>
      </x:c>
      <x:c r="F12" s="18" t="str">
        <x:v>低于</x:v>
      </x:c>
      <x:c r="G12" s="17" t="str">
        <x:v>营业利润同比下降超过 5%</x:v>
      </x:c>
    </x:row>
    <x:row r="13" ht="26" customHeight="1">
      <x:c r="A13" s="18" t="str">
        <x:v>净利率</x:v>
      </x:c>
      <x:c r="B13" s="18" t="str">
        <x:v>比率</x:v>
      </x:c>
      <x:c r="C13" s="18" t="str">
        <x:v>pp（百分点变化）</x:v>
      </x:c>
      <x:c r="D13" s="22" t="n">
        <x:v>-1</x:v>
      </x:c>
      <x:c r="E13" s="22" t="n">
        <x:v>-2</x:v>
      </x:c>
      <x:c r="F13" s="18" t="str">
        <x:v>低于</x:v>
      </x:c>
      <x:c r="G13" s="17" t="str">
        <x:v>净利率同比下降超过 1 个百分点</x:v>
      </x:c>
    </x:row>
    <x:row r="14" ht="26" customHeight="1">
      <x:c r="A14" s="18" t="str">
        <x:v>经营现金流率</x:v>
      </x:c>
      <x:c r="B14" s="18" t="str">
        <x:v>比率</x:v>
      </x:c>
      <x:c r="C14" s="18" t="str">
        <x:v>pp（百分点变化）</x:v>
      </x:c>
      <x:c r="D14" s="22" t="n">
        <x:v>-2</x:v>
      </x:c>
      <x:c r="E14" s="22" t="n">
        <x:v>-4</x:v>
      </x:c>
      <x:c r="F14" s="18" t="str">
        <x:v>低于</x:v>
      </x:c>
      <x:c r="G14" s="17" t="str">
        <x:v>经营现金流率同比下降超过 2 个百分点</x:v>
      </x:c>
    </x:row>
    <x:row r="15" ht="26" customHeight="1">
      <x:c r="A15" s="18" t="str">
        <x:v>应收账款</x:v>
      </x:c>
      <x:c r="B15" s="18" t="str">
        <x:v>金额</x:v>
      </x:c>
      <x:c r="C15" s="18" t="str">
        <x:v>%（同比变化率）</x:v>
      </x:c>
      <x:c r="D15" s="22" t="n">
        <x:v>15</x:v>
      </x:c>
      <x:c r="E15" s="22" t="n">
        <x:v>25</x:v>
      </x:c>
      <x:c r="F15" s="18" t="str">
        <x:v>高于</x:v>
      </x:c>
      <x:c r="G15" s="17" t="str">
        <x:v>应收账款同比增长超过 15%</x:v>
      </x:c>
    </x:row>
    <x:row r="16" ht="26" customHeight="1">
      <x:c r="A16" s="18" t="str">
        <x:v>应收账款/收入</x:v>
      </x:c>
      <x:c r="B16" s="18" t="str">
        <x:v>比率</x:v>
      </x:c>
      <x:c r="C16" s="18" t="str">
        <x:v>pp（百分点变化）</x:v>
      </x:c>
      <x:c r="D16" s="22" t="n">
        <x:v>0.5</x:v>
      </x:c>
      <x:c r="E16" s="22" t="n">
        <x:v>1</x:v>
      </x:c>
      <x:c r="F16" s="18" t="str">
        <x:v>高于</x:v>
      </x:c>
      <x:c r="G16" s="17" t="str">
        <x:v>应收账款占收入比上升超过 0.5 个百分点</x:v>
      </x:c>
    </x:row>
    <x:row r="17" ht="26" customHeight="1">
      <x:c r="A17" s="18" t="str">
        <x:v>存货</x:v>
      </x:c>
      <x:c r="B17" s="18" t="str">
        <x:v>金额</x:v>
      </x:c>
      <x:c r="C17" s="18" t="str">
        <x:v>%（同比变化率）</x:v>
      </x:c>
      <x:c r="D17" s="22" t="n">
        <x:v>15</x:v>
      </x:c>
      <x:c r="E17" s="22" t="n">
        <x:v>25</x:v>
      </x:c>
      <x:c r="F17" s="18" t="str">
        <x:v>高于</x:v>
      </x:c>
      <x:c r="G17" s="17" t="str">
        <x:v>存货同比增长超过 15%</x:v>
      </x:c>
    </x:row>
    <x:row r="18" ht="26" customHeight="1">
      <x:c r="A18" s="18" t="str">
        <x:v>应付账款</x:v>
      </x:c>
      <x:c r="B18" s="18" t="str">
        <x:v>金额</x:v>
      </x:c>
      <x:c r="C18" s="18" t="str">
        <x:v>%（同比变化率）</x:v>
      </x:c>
      <x:c r="D18" s="22" t="n">
        <x:v>15</x:v>
      </x:c>
      <x:c r="E18" s="22" t="n">
        <x:v>25</x:v>
      </x:c>
      <x:c r="F18" s="18" t="str">
        <x:v>高于</x:v>
      </x:c>
      <x:c r="G18" s="17" t="str">
        <x:v>应付账款同比增长超过 15%</x:v>
      </x:c>
    </x:row>
    <x:row r="19" ht="26" customHeight="1">
      <x:c r="A19" s="18" t="str">
        <x:v>货币资金</x:v>
      </x:c>
      <x:c r="B19" s="18" t="str">
        <x:v>金额</x:v>
      </x:c>
      <x:c r="C19" s="18" t="str">
        <x:v>%（同比变化率）</x:v>
      </x:c>
      <x:c r="D19" s="22" t="n">
        <x:v>-30</x:v>
      </x:c>
      <x:c r="E19" s="22" t="n">
        <x:v>-50</x:v>
      </x:c>
      <x:c r="F19" s="18" t="str">
        <x:v>低于</x:v>
      </x:c>
      <x:c r="G19" s="17" t="str">
        <x:v>货币资金同比下降超过 30%</x:v>
      </x:c>
    </x:row>
    <x:row r="20" ht="26" customHeight="1">
      <x:c r="A20" s="18" t="str">
        <x:v>现金含量</x:v>
      </x:c>
      <x:c r="B20" s="18" t="str">
        <x:v>倍数</x:v>
      </x:c>
      <x:c r="C20" s="18" t="str">
        <x:v>倍（同比变化）</x:v>
      </x:c>
      <x:c r="D20" s="22" t="n">
        <x:v>-0.3</x:v>
      </x:c>
      <x:c r="E20" s="22" t="n">
        <x:v>-0.5</x:v>
      </x:c>
      <x:c r="F20" s="18" t="str">
        <x:v>低于</x:v>
      </x:c>
      <x:c r="G20" s="17" t="str">
        <x:v>现金含量同比下降超过 0.3 倍</x:v>
      </x:c>
    </x:row>
    <x:row r="21" ht="26" customHeight="1">
      <x:c r="A21" s="18" t="str">
        <x:v>三费占收入比</x:v>
      </x:c>
      <x:c r="B21" s="18" t="str">
        <x:v>比率</x:v>
      </x:c>
      <x:c r="C21" s="18" t="str">
        <x:v>pp（百分点变化）</x:v>
      </x:c>
      <x:c r="D21" s="22" t="n">
        <x:v>1</x:v>
      </x:c>
      <x:c r="E21" s="22" t="n">
        <x:v>2</x:v>
      </x:c>
      <x:c r="F21" s="18" t="str">
        <x:v>高于</x:v>
      </x:c>
      <x:c r="G21" s="17" t="str">
        <x:v>三费占收入比上升超过 1 个百分点</x:v>
      </x:c>
    </x:row>
    <x:row r="22" ht="26" customHeight="1">
      <x:c r="A22" s="18" t="str">
        <x:v>应收账款周转天数</x:v>
      </x:c>
      <x:c r="B22" s="18" t="str">
        <x:v>天数</x:v>
      </x:c>
      <x:c r="C22" s="18" t="str">
        <x:v>天（同比变化）</x:v>
      </x:c>
      <x:c r="D22" s="22" t="n">
        <x:v>3</x:v>
      </x:c>
      <x:c r="E22" s="22" t="n">
        <x:v>6</x:v>
      </x:c>
      <x:c r="F22" s="18" t="str">
        <x:v>高于</x:v>
      </x:c>
      <x:c r="G22" s="17" t="str">
        <x:v>应收账款周转天数增加超过 3 天</x:v>
      </x:c>
    </x:row>
    <x:row r="23" ht="26" customHeight="1">
      <x:c r="A23" s="18" t="str">
        <x:v>存货周转天数</x:v>
      </x:c>
      <x:c r="B23" s="18" t="str">
        <x:v>天数</x:v>
      </x:c>
      <x:c r="C23" s="18" t="str">
        <x:v>天（同比变化）</x:v>
      </x:c>
      <x:c r="D23" s="22" t="n">
        <x:v>5</x:v>
      </x:c>
      <x:c r="E23" s="22" t="n">
        <x:v>10</x:v>
      </x:c>
      <x:c r="F23" s="18" t="str">
        <x:v>高于</x:v>
      </x:c>
      <x:c r="G23" s="17" t="str">
        <x:v>存货周转天数增加超过 5 天</x:v>
      </x:c>
    </x:row>
    <x:row r="24" ht="26" customHeight="1">
      <x:c r="A24" s="18" t="str">
        <x:v>应付账款周转天数</x:v>
      </x:c>
      <x:c r="B24" s="18" t="str">
        <x:v>天数</x:v>
      </x:c>
      <x:c r="C24" s="18" t="str">
        <x:v>天（同比变化）</x:v>
      </x:c>
      <x:c r="D24" s="22" t="n">
        <x:v>-5</x:v>
      </x:c>
      <x:c r="E24" s="22" t="n">
        <x:v>-10</x:v>
      </x:c>
      <x:c r="F24" s="18" t="str">
        <x:v>低于</x:v>
      </x:c>
      <x:c r="G24" s="17" t="str">
        <x:v>应付账款周转天数减少超过 5 天</x:v>
      </x:c>
    </x:row>
    <x:row r="25" ht="26" customHeight="1">
      <x:c r="A25" s="18" t="str">
        <x:v>现金转换周期</x:v>
      </x:c>
      <x:c r="B25" s="18" t="str">
        <x:v>天数</x:v>
      </x:c>
      <x:c r="C25" s="18" t="str">
        <x:v>天（同比变化）</x:v>
      </x:c>
      <x:c r="D25" s="22" t="n">
        <x:v>5</x:v>
      </x:c>
      <x:c r="E25" s="22" t="n">
        <x:v>10</x:v>
      </x:c>
      <x:c r="F25" s="18" t="str">
        <x:v>高于</x:v>
      </x:c>
      <x:c r="G25" s="17" t="str">
        <x:v>现金转换周期延长超过 5 天</x:v>
      </x:c>
    </x:row>
    <x:row r="26" ht="26" customHeight="1">
      <x:c r="A26" s="18" t="str">
        <x:v>总资产周转率</x:v>
      </x:c>
      <x:c r="B26" s="18" t="str">
        <x:v>次数</x:v>
      </x:c>
      <x:c r="C26" s="18" t="str">
        <x:v>次（同比变化）</x:v>
      </x:c>
      <x:c r="D26" s="22" t="n">
        <x:v>-0.05</x:v>
      </x:c>
      <x:c r="E26" s="22" t="n">
        <x:v>-0.1</x:v>
      </x:c>
      <x:c r="F26" s="18" t="str">
        <x:v>低于</x:v>
      </x:c>
      <x:c r="G26" s="17" t="str">
        <x:v>总资产周转率下降超过 0.05 次</x:v>
      </x:c>
    </x:row>
    <x:row r="28" ht="32" customHeight="1">
      <x:c r="A28" s="5" t="str">
        <x:v>阈值可随评审对象与行业基准调整；修改后「指标分析」「营运资本与现金质量」的状态列与「经营分析看板」的信号计数会自动重算。</x:v>
      </x:c>
    </x:row>
  </x:sheetData>
  <x:mergeCells>
    <x:mergeCell ref="A2:G2"/>
    <x:mergeCell ref="A3:G3"/>
    <x:mergeCell ref="A28:G28"/>
  </x:mergeCells>
  <x:dataValidations count="1">
    <x:dataValidation type="decimal" operator="between" sqref="D5:E26">
      <x:formula1>-100</x:formula1>
      <x:formula2>100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F2E2C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1" hidden="0" customWidth="1"/>
    <x:col min="5" max="5" width="16" hidden="0" customWidth="1"/>
    <x:col min="6" max="6" width="20" hidden="0" customWidth="1"/>
  </x:cols>
  <x:sheetData>
    <x:row r="2">
      <x:c r="A2" s="2" t="str">
        <x:v>真实报表数据｜美的集团股份有限公司（000333.SZ）</x:v>
      </x:c>
    </x:row>
    <x:row r="3" ht="42" customHeight="1">
      <x:c r="A3" s="5" t="str">
        <x:v>单位：百万元；人民币。数据来源：美的集团 2025 年年度报告（巨潮资讯网，2026-03-31 披露）https://static.cninfo.com.cn/finalpage/2026-03-31/1225058110.PDF</x:v>
      </x:c>
    </x:row>
    <x:row r="5" ht="28" customHeight="1">
      <x:c r="A5" s="11" t="str">
        <x:v>指标</x:v>
      </x:c>
      <x:c r="B5" s="12" t="str">
        <x:v>2024</x:v>
      </x:c>
      <x:c r="C5" s="12" t="str">
        <x:v>2025</x:v>
      </x:c>
      <x:c r="D5" s="12" t="str">
        <x:v>同比变化</x:v>
      </x:c>
      <x:c r="E5" s="12" t="str">
        <x:v>报表位置</x:v>
      </x:c>
      <x:c r="F5" s="13" t="str">
        <x:v>分析含义</x:v>
      </x:c>
    </x:row>
    <x:row r="6">
      <x:c r="A6" s="17" t="str">
        <x:v>营业总收入</x:v>
      </x:c>
      <x:c r="B6" s="25" t="n">
        <x:v>409084.266</x:v>
      </x:c>
      <x:c r="C6" s="25" t="n">
        <x:v>458502.407</x:v>
      </x:c>
      <x:c r="D6" s="26" t="n">
        <x:f>C6/B6-1</x:f>
        <x:v>0.12080186188339015</x:v>
      </x:c>
      <x:c r="E6" s="17" t="str">
        <x:v>合并利润表</x:v>
      </x:c>
      <x:c r="F6" s="17" t="str">
        <x:v>规模与增长</x:v>
      </x:c>
    </x:row>
    <x:row r="7">
      <x:c r="A7" s="17" t="str">
        <x:v>营业成本</x:v>
      </x:c>
      <x:c r="B7" s="25" t="n">
        <x:v>299584.935</x:v>
      </x:c>
      <x:c r="C7" s="25" t="n">
        <x:v>335989.528</x:v>
      </x:c>
      <x:c r="D7" s="26" t="n">
        <x:f>C7/B7-1</x:f>
        <x:v>0.12151676785750265</x:v>
      </x:c>
      <x:c r="E7" s="17" t="str">
        <x:v>合并利润表</x:v>
      </x:c>
      <x:c r="F7" s="17" t="str">
        <x:v>成本投入</x:v>
      </x:c>
    </x:row>
    <x:row r="8">
      <x:c r="A8" s="17" t="str">
        <x:v>销售费用</x:v>
      </x:c>
      <x:c r="B8" s="25" t="n">
        <x:v>38753.649</x:v>
      </x:c>
      <x:c r="C8" s="25" t="n">
        <x:v>42891.49</x:v>
      </x:c>
      <x:c r="D8" s="26" t="n">
        <x:f>C8/B8-1</x:f>
        <x:v>0.10677293898182327</x:v>
      </x:c>
      <x:c r="E8" s="17" t="str">
        <x:v>合并利润表</x:v>
      </x:c>
      <x:c r="F8" s="17" t="str">
        <x:v>渠道与市场投入</x:v>
      </x:c>
    </x:row>
    <x:row r="9">
      <x:c r="A9" s="17" t="str">
        <x:v>管理费用</x:v>
      </x:c>
      <x:c r="B9" s="25" t="n">
        <x:v>14505.864</x:v>
      </x:c>
      <x:c r="C9" s="25" t="n">
        <x:v>16092.311</x:v>
      </x:c>
      <x:c r="D9" s="26" t="n">
        <x:f>C9/B9-1</x:f>
        <x:v>0.10936590884900066</x:v>
      </x:c>
      <x:c r="E9" s="17" t="str">
        <x:v>合并利润表</x:v>
      </x:c>
      <x:c r="F9" s="17" t="str">
        <x:v>管理投入</x:v>
      </x:c>
    </x:row>
    <x:row r="10">
      <x:c r="A10" s="17" t="str">
        <x:v>研发费用</x:v>
      </x:c>
      <x:c r="B10" s="25" t="n">
        <x:v>16232.771</x:v>
      </x:c>
      <x:c r="C10" s="25" t="n">
        <x:v>17787.624</x:v>
      </x:c>
      <x:c r="D10" s="26" t="n">
        <x:f>C10/B10-1</x:f>
        <x:v>0.09578481702230635</x:v>
      </x:c>
      <x:c r="E10" s="17" t="str">
        <x:v>合并利润表</x:v>
      </x:c>
      <x:c r="F10" s="17" t="str">
        <x:v>研发投入</x:v>
      </x:c>
    </x:row>
    <x:row r="11">
      <x:c r="A11" s="17" t="str">
        <x:v>营业利润</x:v>
      </x:c>
      <x:c r="B11" s="25" t="n">
        <x:v>46393.752</x:v>
      </x:c>
      <x:c r="C11" s="25" t="n">
        <x:v>52978.773</x:v>
      </x:c>
      <x:c r="D11" s="26" t="n">
        <x:f>C11/B11-1</x:f>
        <x:v>0.14193766867573032</x:v>
      </x:c>
      <x:c r="E11" s="17" t="str">
        <x:v>合并利润表</x:v>
      </x:c>
      <x:c r="F11" s="17" t="str">
        <x:v>经营盈利</x:v>
      </x:c>
    </x:row>
    <x:row r="12">
      <x:c r="A12" s="17" t="str">
        <x:v>净利润</x:v>
      </x:c>
      <x:c r="B12" s="25" t="n">
        <x:v>38757.214</x:v>
      </x:c>
      <x:c r="C12" s="25" t="n">
        <x:v>44520.196</x:v>
      </x:c>
      <x:c r="D12" s="26" t="n">
        <x:f>C12/B12-1</x:f>
        <x:v>0.148694434022012</x:v>
      </x:c>
      <x:c r="E12" s="17" t="str">
        <x:v>合并利润表</x:v>
      </x:c>
      <x:c r="F12" s="17" t="str">
        <x:v>最终盈利</x:v>
      </x:c>
    </x:row>
    <x:row r="13">
      <x:c r="A13" s="17" t="str">
        <x:v>经营活动现金流净额</x:v>
      </x:c>
      <x:c r="B13" s="25" t="n">
        <x:v>60511.572</x:v>
      </x:c>
      <x:c r="C13" s="25" t="n">
        <x:v>53345.93</x:v>
      </x:c>
      <x:c r="D13" s="26" t="n">
        <x:f>C13/B13-1</x:f>
        <x:v>-0.1184177135573341</x:v>
      </x:c>
      <x:c r="E13" s="17" t="str">
        <x:v>合并现金流量表</x:v>
      </x:c>
      <x:c r="F13" s="17" t="str">
        <x:v>经营现金创造能力</x:v>
      </x:c>
    </x:row>
    <x:row r="14">
      <x:c r="A14" s="17" t="str">
        <x:v>应收账款</x:v>
      </x:c>
      <x:c r="B14" s="25" t="n">
        <x:v>35798.974</x:v>
      </x:c>
      <x:c r="C14" s="25" t="n">
        <x:v>40450.097</x:v>
      </x:c>
      <x:c r="D14" s="26" t="n">
        <x:f>C14/B14-1</x:f>
        <x:v>0.1299233603734007</x:v>
      </x:c>
      <x:c r="E14" s="17" t="str">
        <x:v>合并资产负债表</x:v>
      </x:c>
      <x:c r="F14" s="17" t="str">
        <x:v>信用及回款占用</x:v>
      </x:c>
    </x:row>
    <x:row r="15">
      <x:c r="A15" s="17" t="str">
        <x:v>存货</x:v>
      </x:c>
      <x:c r="B15" s="25" t="n">
        <x:v>63339.188</x:v>
      </x:c>
      <x:c r="C15" s="25" t="n">
        <x:v>64628.834</x:v>
      </x:c>
      <x:c r="D15" s="26" t="n">
        <x:f>C15/B15-1</x:f>
        <x:v>0.020360949369922388</x:v>
      </x:c>
      <x:c r="E15" s="17" t="str">
        <x:v>合并资产负债表</x:v>
      </x:c>
      <x:c r="F15" s="17" t="str">
        <x:v>营运资金占用</x:v>
      </x:c>
    </x:row>
    <x:row r="16">
      <x:c r="A16" s="17" t="str">
        <x:v>应付账款</x:v>
      </x:c>
      <x:c r="B16" s="25" t="n">
        <x:v>92800.426</x:v>
      </x:c>
      <x:c r="C16" s="25" t="n">
        <x:v>103680.491</x:v>
      </x:c>
      <x:c r="D16" s="26" t="n">
        <x:f>C16/B16-1</x:f>
        <x:v>0.11724154154206134</x:v>
      </x:c>
      <x:c r="E16" s="17" t="str">
        <x:v>合并资产负债表</x:v>
      </x:c>
      <x:c r="F16" s="17" t="str">
        <x:v>供应链资金占用</x:v>
      </x:c>
    </x:row>
    <x:row r="17">
      <x:c r="A17" s="17" t="str">
        <x:v>货币资金</x:v>
      </x:c>
      <x:c r="B17" s="25" t="n">
        <x:v>140410.308</x:v>
      </x:c>
      <x:c r="C17" s="25" t="n">
        <x:v>85247.15</x:v>
      </x:c>
      <x:c r="D17" s="26" t="n">
        <x:f>C17/B17-1</x:f>
        <x:v>-0.3928711416258698</x:v>
      </x:c>
      <x:c r="E17" s="17" t="str">
        <x:v>合并资产负债表</x:v>
      </x:c>
      <x:c r="F17" s="17" t="str">
        <x:v>资金储备</x:v>
      </x:c>
    </x:row>
    <x:row r="18">
      <x:c r="A18" s="17" t="str">
        <x:v>资产总计</x:v>
      </x:c>
      <x:c r="B18" s="25" t="n">
        <x:v>604351.853</x:v>
      </x:c>
      <x:c r="C18" s="25" t="n">
        <x:v>608791.766</x:v>
      </x:c>
      <x:c r="D18" s="26" t="n">
        <x:f>C18/B18-1</x:f>
        <x:v>0.007346569681155435</x:v>
      </x:c>
      <x:c r="E18" s="17" t="str">
        <x:v>合并资产负债表</x:v>
      </x:c>
      <x:c r="F18" s="17" t="str">
        <x:v>资产规模</x:v>
      </x:c>
    </x:row>
    <x:row r="20" ht="30" customHeight="1">
      <x:c r="A20" s="5" t="str">
        <x:v>口径说明：负数和下降不自动等同于经营风险，需结合业务、季节性及附注进一步判断。页码可在年报 PDF 中补填，便于逐项复核。</x:v>
      </x:c>
    </x:row>
  </x:sheetData>
  <x:mergeCells>
    <x:mergeCell ref="A2:F2"/>
    <x:mergeCell ref="A3:F3"/>
    <x:mergeCell ref="A20:F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F2E2C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20" hidden="0" customWidth="1"/>
  </x:cols>
  <x:sheetData>
    <x:row r="2">
      <x:c r="A2" s="2" t="str">
        <x:v>美的集团 2025 年分季度主要财务指标</x:v>
      </x:c>
    </x:row>
    <x:row r="3" ht="42" customHeight="1">
      <x:c r="A3" s="5" t="str">
        <x:v>单位：百万元；人民币。数据来源：美的集团 2025 年年度报告「分季度主要财务指标」（巨潮资讯网，2026-03-31 披露）https://static.cninfo.com.cn/finalpage/2026-03-31/1225058110.PDF</x:v>
      </x:c>
    </x:row>
    <x:row r="5" ht="28" customHeight="1">
      <x:c r="A5" s="11" t="str">
        <x:v>季度</x:v>
      </x:c>
      <x:c r="B5" s="12" t="str">
        <x:v>营业收入</x:v>
      </x:c>
      <x:c r="C5" s="12" t="str">
        <x:v>归母净利润</x:v>
      </x:c>
      <x:c r="D5" s="12" t="str">
        <x:v>扣非净利润</x:v>
      </x:c>
      <x:c r="E5" s="13" t="str">
        <x:v>经营活动现金流净额</x:v>
      </x:c>
    </x:row>
    <x:row r="6">
      <x:c r="A6" s="29" t="str">
        <x:v>Q1</x:v>
      </x:c>
      <x:c r="B6" s="28" t="n">
        <x:v>127838.538</x:v>
      </x:c>
      <x:c r="C6" s="28" t="n">
        <x:v>12422.233</x:v>
      </x:c>
      <x:c r="D6" s="28" t="n">
        <x:v>12749.867</x:v>
      </x:c>
      <x:c r="E6" s="28" t="n">
        <x:v>14320.968</x:v>
      </x:c>
    </x:row>
    <x:row r="7">
      <x:c r="A7" s="29" t="str">
        <x:v>Q2</x:v>
      </x:c>
      <x:c r="B7" s="28" t="n">
        <x:v>123285.176</x:v>
      </x:c>
      <x:c r="C7" s="28" t="n">
        <x:v>13591.457</x:v>
      </x:c>
      <x:c r="D7" s="28" t="n">
        <x:v>13485.532</x:v>
      </x:c>
      <x:c r="E7" s="28" t="n">
        <x:v>22960.047</x:v>
      </x:c>
    </x:row>
    <x:row r="8">
      <x:c r="A8" s="29" t="str">
        <x:v>Q3</x:v>
      </x:c>
      <x:c r="B8" s="28" t="n">
        <x:v>111933.037</x:v>
      </x:c>
      <x:c r="C8" s="28" t="n">
        <x:v>11869.693</x:v>
      </x:c>
      <x:c r="D8" s="28" t="n">
        <x:v>10904.681</x:v>
      </x:c>
      <x:c r="E8" s="28" t="n">
        <x:v>19785.07</x:v>
      </x:c>
    </x:row>
    <x:row r="9">
      <x:c r="A9" s="29" t="str">
        <x:v>Q4</x:v>
      </x:c>
      <x:c r="B9" s="28" t="n">
        <x:v>93394.98</x:v>
      </x:c>
      <x:c r="C9" s="28" t="n">
        <x:v>6062.028</x:v>
      </x:c>
      <x:c r="D9" s="28" t="n">
        <x:v>4127.153</x:v>
      </x:c>
      <x:c r="E9" s="28" t="n">
        <x:v>-3720.155</x:v>
      </x:c>
    </x:row>
    <x:row r="11">
      <x:c r="A11" s="31" t="str">
        <x:v>勾稽核对</x:v>
      </x:c>
      <x:c r="B11" s="31" t="str">
        <x:v>营业收入</x:v>
      </x:c>
      <x:c r="C11" s="31" t="str">
        <x:v>归母净利润</x:v>
      </x:c>
      <x:c r="D11" s="31" t="str">
        <x:v>扣非净利润</x:v>
      </x:c>
      <x:c r="E11" s="31" t="str">
        <x:v>经营活动现金流净额</x:v>
      </x:c>
    </x:row>
    <x:row r="12">
      <x:c r="A12" s="16" t="str">
        <x:v>季度合计</x:v>
      </x:c>
      <x:c r="B12" s="28" t="n">
        <x:f>SUM(B6:B9)</x:f>
        <x:v>456451.73099999997</x:v>
      </x:c>
      <x:c r="C12" s="28" t="n">
        <x:f>SUM(C6:C9)</x:f>
        <x:v>43945.411</x:v>
      </x:c>
      <x:c r="D12" s="28" t="n">
        <x:f>SUM(D6:D9)</x:f>
        <x:v>41267.233</x:v>
      </x:c>
      <x:c r="E12" s="28" t="n">
        <x:f>SUM(E6:E9)</x:f>
        <x:v>53345.93</x:v>
      </x:c>
    </x:row>
    <x:row r="13">
      <x:c r="A13" s="16" t="str">
        <x:v>全年数（真实报表数据）</x:v>
      </x:c>
      <x:c r="B13" s="28" t="n">
        <x:f>'真实报表数据'!C6</x:f>
        <x:v>458502.407</x:v>
      </x:c>
      <x:c r="C13" s="28" t="n">
        <x:f>'真实报表数据'!C12</x:f>
        <x:v>44520.196</x:v>
      </x:c>
      <x:c r="D13" s="28" t="str">
        <x:v>—</x:v>
      </x:c>
      <x:c r="E13" s="28" t="n">
        <x:f>'真实报表数据'!C13</x:f>
        <x:v>53345.93</x:v>
      </x:c>
    </x:row>
    <x:row r="14">
      <x:c r="A14" s="16" t="str">
        <x:v>差异</x:v>
      </x:c>
      <x:c r="B14" s="28" t="n">
        <x:f>B12-B13</x:f>
        <x:v>-2050.676000000036</x:v>
      </x:c>
      <x:c r="C14" s="28" t="n">
        <x:f>C12-C13</x:f>
        <x:v>-574.7850000000035</x:v>
      </x:c>
      <x:c r="D14" s="28" t="str">
        <x:v>—</x:v>
      </x:c>
      <x:c r="E14" s="28" t="n">
        <x:f>E12-E13</x:f>
        <x:v>0</x:v>
      </x:c>
    </x:row>
    <x:row r="16" ht="72" customHeight="1">
      <x:c r="A16" s="5" t="str">
        <x:v>口径核对：经营活动现金流净额季度合计与全年数完全一致；季度「营业收入」合计与全年「营业总收入」相差 2,050.676 百万元，季度「归母净利润」合计与全年「净利润」相差 574.785 百万元。前者需核对利润表中「营业总收入」与「其中：营业收入」的列示口径，后者为归母净利润与净利润（是否含少数股东损益）的口径差异。统一口径后再做结构与同比分析。</x:v>
      </x:c>
    </x:row>
    <x:row r="18" ht="22" customHeight="1">
      <x:c r="A18" s="35" t="str">
        <x:v>可分析问题（结果随数据变动自动更新）</x:v>
      </x:c>
      <x:c r="B18" s="36" t="str">
        <x:v>可分析问题（结果随数据变动自动更新）</x:v>
      </x:c>
      <x:c r="C18" s="36" t="str">
        <x:v>可分析问题（结果随数据变动自动更新）</x:v>
      </x:c>
      <x:c r="D18" s="36" t="str">
        <x:v>可分析问题（结果随数据变动自动更新）</x:v>
      </x:c>
      <x:c r="E18" s="37" t="str">
        <x:v>可分析问题（结果随数据变动自动更新）</x:v>
      </x:c>
    </x:row>
    <x:row r="19" ht="28" customHeight="1">
      <x:c r="A19" s="11" t="str">
        <x:v>观察项</x:v>
      </x:c>
      <x:c r="B19" s="12" t="str">
        <x:v>自动判断</x:v>
      </x:c>
      <x:c r="C19" s="13" t="str">
        <x:v>结论</x:v>
      </x:c>
    </x:row>
    <x:row r="20" ht="46" customHeight="1">
      <x:c r="A20" s="18" t="str">
        <x:v>收入趋势</x:v>
      </x:c>
      <x:c r="B20" s="18" t="str">
        <x:f>IF(AND(B9&lt;B8,B8&lt;B7,B7&lt;B6),"逐季回落","非单调变化")</x:f>
        <x:v>逐季回落</x:v>
      </x:c>
      <x:c r="C20" s="17" t="str">
        <x:f>"Q4 营业收入较 Q1 下降 "&amp;TEXT(1-B9/B6,"0.0%")&amp;"，需结合行业季节性与业务结构判断。"</x:f>
        <x:v>Q4 营业收入较 Q1 下降 26.9%，需结合行业季节性与业务结构判断。</x:v>
      </x:c>
      <x:c r="D20" s="38"/>
      <x:c r="E20" s="38"/>
    </x:row>
    <x:row r="21" ht="46" customHeight="1">
      <x:c r="A21" s="18" t="str">
        <x:v>归母净利润</x:v>
      </x:c>
      <x:c r="B21" s="18" t="str">
        <x:f>IF(C9&lt;MIN(C6:C8),"Q4 低于前三季度","—")</x:f>
        <x:v>Q4 低于前三季度</x:v>
      </x:c>
      <x:c r="C21" s="17" t="str">
        <x:f>"Q4 归母净利润 "&amp;TEXT(C9,"#,##0")&amp;" 百万元，为 Q1 的 "&amp;TEXT(C9/C6,"0.0%")&amp;"；需拆分非经常性损益与季节性因素。"</x:f>
        <x:v>Q4 归母净利润 6,062 百万元，为 Q1 的 48.8%；需拆分非经常性损益与季节性因素。</x:v>
      </x:c>
      <x:c r="D21" s="38"/>
      <x:c r="E21" s="38"/>
    </x:row>
    <x:row r="22" ht="46" customHeight="1">
      <x:c r="A22" s="18" t="str">
        <x:v>经营活动现金流净额</x:v>
      </x:c>
      <x:c r="B22" s="18" t="str">
        <x:f>IF(E9&lt;0,"Q4 为负","正常")</x:f>
        <x:v>Q4 为负</x:v>
      </x:c>
      <x:c r="C22" s="17" t="str">
        <x:f>"Q4 经营活动现金流净额 "&amp;TEXT(E9,"#,##0")&amp;" 百万元；需核查营运资金、回款与备货节奏。"</x:f>
        <x:v>Q4 经营活动现金流净额 -3,720 百万元；需核查营运资金、回款与备货节奏。</x:v>
      </x:c>
      <x:c r="D22" s="38"/>
      <x:c r="E22" s="38"/>
    </x:row>
  </x:sheetData>
  <x:mergeCells>
    <x:mergeCell ref="A2:E2"/>
    <x:mergeCell ref="A3:E3"/>
    <x:mergeCell ref="A16:E16"/>
    <x:mergeCell ref="A18:E18"/>
    <x:mergeCell ref="C19:E19"/>
    <x:mergeCell ref="C20:E20"/>
    <x:mergeCell ref="C21:E21"/>
    <x:mergeCell ref="C22:E22"/>
  </x:mergeCells>
  <x:conditionalFormatting sqref="B20:B20">
    <x:cfRule type="containsText" dxfId="0" priority="1" operator="containsText" text="逐季回落"/>
  </x:conditionalFormatting>
  <x:conditionalFormatting sqref="B21:B22">
    <x:cfRule type="containsText" dxfId="1" priority="2" operator="containsText" text="Q4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9B4C0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2">
      <x:c r="A2" s="2" t="str">
        <x:v>AI 财务分析 Prompt（可直接复制给 DeepSeek / ChatGPT / 扣子 Coze）</x:v>
      </x:c>
    </x:row>
    <x:row r="4" ht="22" customHeight="1">
      <x:c r="A4" s="35" t="str">
        <x:v>一、角色</x:v>
      </x:c>
      <x:c r="B4" s="36" t="str">
        <x:v>一、角色</x:v>
      </x:c>
      <x:c r="C4" s="36" t="str">
        <x:v>一、角色</x:v>
      </x:c>
      <x:c r="D4" s="36" t="str">
        <x:v>一、角色</x:v>
      </x:c>
      <x:c r="E4" s="36" t="str">
        <x:v>一、角色</x:v>
      </x:c>
      <x:c r="F4" s="36" t="str">
        <x:v>一、角色</x:v>
      </x:c>
      <x:c r="G4" s="36" t="str">
        <x:v>一、角色</x:v>
      </x:c>
      <x:c r="H4" s="37" t="str">
        <x:v>一、角色</x:v>
      </x:c>
    </x:row>
    <x:row r="5" ht="36" customHeight="1">
      <x:c r="A5" s="100" t="str">
        <x:v>你是一名企业财务分析助手，面向管理层阅读。你只基于我提供的公开财务数据进行分析，不得虚构未提供的数据、科目或结论。</x:v>
      </x:c>
      <x:c r="B5" s="101"/>
      <x:c r="C5" s="101"/>
      <x:c r="D5" s="101"/>
      <x:c r="E5" s="101"/>
      <x:c r="F5" s="101"/>
      <x:c r="G5" s="101"/>
      <x:c r="H5" s="102"/>
    </x:row>
    <x:row r="7" ht="22" customHeight="1">
      <x:c r="A7" s="35" t="str">
        <x:v>二、分析顺序</x:v>
      </x:c>
      <x:c r="B7" s="36" t="str">
        <x:v>二、分析顺序</x:v>
      </x:c>
      <x:c r="C7" s="36" t="str">
        <x:v>二、分析顺序</x:v>
      </x:c>
      <x:c r="D7" s="36" t="str">
        <x:v>二、分析顺序</x:v>
      </x:c>
      <x:c r="E7" s="36" t="str">
        <x:v>二、分析顺序</x:v>
      </x:c>
      <x:c r="F7" s="36" t="str">
        <x:v>二、分析顺序</x:v>
      </x:c>
      <x:c r="G7" s="36" t="str">
        <x:v>二、分析顺序</x:v>
      </x:c>
      <x:c r="H7" s="37" t="str">
        <x:v>二、分析顺序</x:v>
      </x:c>
    </x:row>
    <x:row r="8" ht="50" customHeight="1">
      <x:c r="A8" s="100" t="str">
        <x:v>①概括经营变化 → ②计算并验证关键指标（增长、盈利、现金、营运资本） → ③按给定规则识别异常 → ④对每项异常提出 2-3 个可能原因 → ⑤列出需要进一步核查的报表、附注或业务资料 → ⑥输出管理层可读的摘要。</x:v>
      </x:c>
      <x:c r="B8" s="101"/>
      <x:c r="C8" s="101"/>
      <x:c r="D8" s="101"/>
      <x:c r="E8" s="101"/>
      <x:c r="F8" s="101"/>
      <x:c r="G8" s="101"/>
      <x:c r="H8" s="102"/>
    </x:row>
    <x:row r="10" ht="22" customHeight="1">
      <x:c r="A10" s="35" t="str">
        <x:v>三、输入数据</x:v>
      </x:c>
      <x:c r="B10" s="36" t="str">
        <x:v>三、输入数据</x:v>
      </x:c>
      <x:c r="C10" s="36" t="str">
        <x:v>三、输入数据</x:v>
      </x:c>
      <x:c r="D10" s="36" t="str">
        <x:v>三、输入数据</x:v>
      </x:c>
      <x:c r="E10" s="36" t="str">
        <x:v>三、输入数据</x:v>
      </x:c>
      <x:c r="F10" s="36" t="str">
        <x:v>三、输入数据</x:v>
      </x:c>
      <x:c r="G10" s="36" t="str">
        <x:v>三、输入数据</x:v>
      </x:c>
      <x:c r="H10" s="37" t="str">
        <x:v>三、输入数据</x:v>
      </x:c>
    </x:row>
    <x:row r="11" ht="50" customHeight="1">
      <x:c r="A11" s="100" t="str">
        <x:v>数据取自「真实报表数据」「2025季度数据」「指标分析」「营运资本与现金质量」「异常规则」五张表。状态列已由规则给出正常／关注／预警；你的任务是解释信号并指出待核查事项，不要重新判定阈值。</x:v>
      </x:c>
      <x:c r="B11" s="101"/>
      <x:c r="C11" s="101"/>
      <x:c r="D11" s="101"/>
      <x:c r="E11" s="101"/>
      <x:c r="F11" s="101"/>
      <x:c r="G11" s="101"/>
      <x:c r="H11" s="102"/>
    </x:row>
    <x:row r="13" ht="22" customHeight="1">
      <x:c r="A13" s="35" t="str">
        <x:v>四、输出格式</x:v>
      </x:c>
      <x:c r="B13" s="36" t="str">
        <x:v>四、输出格式</x:v>
      </x:c>
      <x:c r="C13" s="36" t="str">
        <x:v>四、输出格式</x:v>
      </x:c>
      <x:c r="D13" s="36" t="str">
        <x:v>四、输出格式</x:v>
      </x:c>
      <x:c r="E13" s="36" t="str">
        <x:v>四、输出格式</x:v>
      </x:c>
      <x:c r="F13" s="36" t="str">
        <x:v>四、输出格式</x:v>
      </x:c>
      <x:c r="G13" s="36" t="str">
        <x:v>四、输出格式</x:v>
      </x:c>
      <x:c r="H13" s="37" t="str">
        <x:v>四、输出格式</x:v>
      </x:c>
    </x:row>
    <x:row r="14" ht="62" customHeight="1">
      <x:c r="A14" s="100" t="str">
        <x:v>以 JSON 返回，字段固定为：{"summary":"一段话摘要","signals":[{"metric":"指标名","status":"关注/预警","value":"监测值","possible_causes":["原因1","原因2"],"to_verify":["报表或附注","业务资料"]}],"data_caveats":["口径或勾稽差异"],"next_actions":["建议动作"]}。除 JSON 外不要输出其他内容。</x:v>
      </x:c>
      <x:c r="B14" s="101"/>
      <x:c r="C14" s="101"/>
      <x:c r="D14" s="101"/>
      <x:c r="E14" s="101"/>
      <x:c r="F14" s="101"/>
      <x:c r="G14" s="101"/>
      <x:c r="H14" s="102"/>
    </x:row>
    <x:row r="16" ht="22" customHeight="1">
      <x:c r="A16" s="35" t="str">
        <x:v>五、禁止事项</x:v>
      </x:c>
      <x:c r="B16" s="36" t="str">
        <x:v>五、禁止事项</x:v>
      </x:c>
      <x:c r="C16" s="36" t="str">
        <x:v>五、禁止事项</x:v>
      </x:c>
      <x:c r="D16" s="36" t="str">
        <x:v>五、禁止事项</x:v>
      </x:c>
      <x:c r="E16" s="36" t="str">
        <x:v>五、禁止事项</x:v>
      </x:c>
      <x:c r="F16" s="36" t="str">
        <x:v>五、禁止事项</x:v>
      </x:c>
      <x:c r="G16" s="36" t="str">
        <x:v>五、禁止事项</x:v>
      </x:c>
      <x:c r="H16" s="37" t="str">
        <x:v>五、禁止事项</x:v>
      </x:c>
    </x:row>
    <x:row r="17" ht="50" customHeight="1">
      <x:c r="A17" s="100" t="str">
        <x:v>对原因使用「可能」「需要进一步核查」等表述；禁止将相关性直接表述为因果关系；禁止根据财报数据推断公司存在舞弊、财务造假或经营危机；禁止给出投资建议或买卖结论。</x:v>
      </x:c>
      <x:c r="B17" s="101"/>
      <x:c r="C17" s="101"/>
      <x:c r="D17" s="101"/>
      <x:c r="E17" s="101"/>
      <x:c r="F17" s="101"/>
      <x:c r="G17" s="101"/>
      <x:c r="H17" s="102"/>
    </x:row>
    <x:row r="19" ht="22" customHeight="1">
      <x:c r="A19" s="35" t="str">
        <x:v>六、引用与可追溯要求</x:v>
      </x:c>
      <x:c r="B19" s="36" t="str">
        <x:v>六、引用与可追溯要求</x:v>
      </x:c>
      <x:c r="C19" s="36" t="str">
        <x:v>六、引用与可追溯要求</x:v>
      </x:c>
      <x:c r="D19" s="36" t="str">
        <x:v>六、引用与可追溯要求</x:v>
      </x:c>
      <x:c r="E19" s="36" t="str">
        <x:v>六、引用与可追溯要求</x:v>
      </x:c>
      <x:c r="F19" s="36" t="str">
        <x:v>六、引用与可追溯要求</x:v>
      </x:c>
      <x:c r="G19" s="36" t="str">
        <x:v>六、引用与可追溯要求</x:v>
      </x:c>
      <x:c r="H19" s="37" t="str">
        <x:v>六、引用与可追溯要求</x:v>
      </x:c>
    </x:row>
    <x:row r="20" ht="50" customHeight="1">
      <x:c r="A20" s="100" t="str">
        <x:v>每条结论必须注明依据的指标名称与数值；涉及科目时写明报表名称（合并资产负债表／合并利润表／合并现金流量表）；口径存在差异时单独列入 data_caveats，不得并入结论。</x:v>
      </x:c>
      <x:c r="B20" s="101"/>
      <x:c r="C20" s="101"/>
      <x:c r="D20" s="101"/>
      <x:c r="E20" s="101"/>
      <x:c r="F20" s="101"/>
      <x:c r="G20" s="101"/>
      <x:c r="H20" s="102"/>
    </x:row>
    <x:row r="22" ht="22" customHeight="1">
      <x:c r="A22" s="35" t="str">
        <x:v>七、自检</x:v>
      </x:c>
      <x:c r="B22" s="36" t="str">
        <x:v>七、自检</x:v>
      </x:c>
      <x:c r="C22" s="36" t="str">
        <x:v>七、自检</x:v>
      </x:c>
      <x:c r="D22" s="36" t="str">
        <x:v>七、自检</x:v>
      </x:c>
      <x:c r="E22" s="36" t="str">
        <x:v>七、自检</x:v>
      </x:c>
      <x:c r="F22" s="36" t="str">
        <x:v>七、自检</x:v>
      </x:c>
      <x:c r="G22" s="36" t="str">
        <x:v>七、自检</x:v>
      </x:c>
      <x:c r="H22" s="37" t="str">
        <x:v>七、自检</x:v>
      </x:c>
    </x:row>
    <x:row r="23" ht="50" customHeight="1">
      <x:c r="A23" s="100" t="str">
        <x:v>输出前自检：数值是否与输入一致、是否区分了归母净利润与净利润、是否区分了营业总收入与营业收入、是否把「可能原因」写成了确定结论。任一项不满足则先修正再输出。</x:v>
      </x:c>
      <x:c r="B23" s="101"/>
      <x:c r="C23" s="101"/>
      <x:c r="D23" s="101"/>
      <x:c r="E23" s="101"/>
      <x:c r="F23" s="101"/>
      <x:c r="G23" s="101"/>
      <x:c r="H23" s="102"/>
    </x:row>
    <x:row r="25" ht="22" customHeight="1">
      <x:c r="A25" s="35" t="str">
        <x:v>八、待分析数据</x:v>
      </x:c>
      <x:c r="B25" s="36" t="str">
        <x:v>八、待分析数据</x:v>
      </x:c>
      <x:c r="C25" s="36" t="str">
        <x:v>八、待分析数据</x:v>
      </x:c>
      <x:c r="D25" s="36" t="str">
        <x:v>八、待分析数据</x:v>
      </x:c>
      <x:c r="E25" s="36" t="str">
        <x:v>八、待分析数据</x:v>
      </x:c>
      <x:c r="F25" s="36" t="str">
        <x:v>八、待分析数据</x:v>
      </x:c>
      <x:c r="G25" s="36" t="str">
        <x:v>八、待分析数据</x:v>
      </x:c>
      <x:c r="H25" s="37" t="str">
        <x:v>八、待分析数据</x:v>
      </x:c>
    </x:row>
    <x:row r="26" ht="50" customHeight="1">
      <x:c r="A26" s="100" t="str">
        <x:v>从「真实报表数据」「2025季度数据」「指标分析」「营运资本与现金质量」「异常规则」复制粘贴，或在接入程序时由接口按 JSON 传入。</x:v>
      </x:c>
      <x:c r="B26" s="101"/>
      <x:c r="C26" s="101"/>
      <x:c r="D26" s="101"/>
      <x:c r="E26" s="101"/>
      <x:c r="F26" s="101"/>
      <x:c r="G26" s="101"/>
      <x:c r="H26" s="102"/>
    </x:row>
  </x:sheetData>
  <x:mergeCells>
    <x:mergeCell ref="A2:H2"/>
    <x:mergeCell ref="A4:H4"/>
    <x:mergeCell ref="A5:H5"/>
    <x:mergeCell ref="A7:H7"/>
    <x:mergeCell ref="A8:H8"/>
    <x:mergeCell ref="A10:H10"/>
    <x:mergeCell ref="A11:H11"/>
    <x:mergeCell ref="A13:H13"/>
    <x:mergeCell ref="A14:H14"/>
    <x:mergeCell ref="A16:H16"/>
    <x:mergeCell ref="A17:H17"/>
    <x:mergeCell ref="A19:H19"/>
    <x:mergeCell ref="A20:H20"/>
    <x:mergeCell ref="A22:H22"/>
    <x:mergeCell ref="A23:H23"/>
    <x:mergeCell ref="A25:H25"/>
    <x:mergeCell ref="A26:H2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A9B4C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12" hidden="0" customWidth="1"/>
    <x:col min="4" max="4" width="30" hidden="0" customWidth="1"/>
    <x:col min="5" max="5" width="34" hidden="0" customWidth="1"/>
    <x:col min="6" max="6" width="40" hidden="0" customWidth="1"/>
  </x:cols>
  <x:sheetData>
    <x:row r="2">
      <x:c r="A2" s="2" t="str">
        <x:v>数据来源与使用说明</x:v>
      </x:c>
    </x:row>
    <x:row r="4" ht="28" customHeight="1">
      <x:c r="A4" s="11" t="str">
        <x:v>来源类型</x:v>
      </x:c>
      <x:c r="B4" s="12" t="str">
        <x:v>公司／文件</x:v>
      </x:c>
      <x:c r="C4" s="12" t="str">
        <x:v>披露期间</x:v>
      </x:c>
      <x:c r="D4" s="12" t="str">
        <x:v>报表位置</x:v>
      </x:c>
      <x:c r="E4" s="12" t="str">
        <x:v>用途</x:v>
      </x:c>
      <x:c r="F4" s="13" t="str">
        <x:v>链接</x:v>
      </x:c>
    </x:row>
    <x:row r="5" ht="30" customHeight="1">
      <x:c r="A5" s="17" t="str">
        <x:v>年度报告</x:v>
      </x:c>
      <x:c r="B5" s="17" t="str">
        <x:v>美的集团股份有限公司 2025 年年度报告</x:v>
      </x:c>
      <x:c r="C5" s="17" t="str">
        <x:v>2024-2025</x:v>
      </x:c>
      <x:c r="D5" s="17" t="str">
        <x:v>合并资产负债表、合并利润表、合并现金流量表</x:v>
      </x:c>
      <x:c r="E5" s="17" t="str">
        <x:v>科目余额、损益项目与经营现金流</x:v>
      </x:c>
      <x:c r="F5" s="17" t="str">
        <x:v>https://static.cninfo.com.cn/finalpage/2026-03-31/1225058110.PDF</x:v>
      </x:c>
    </x:row>
    <x:row r="6" ht="30" customHeight="1">
      <x:c r="A6" s="17" t="str">
        <x:v>年度报告</x:v>
      </x:c>
      <x:c r="B6" s="17" t="str">
        <x:v>美的集团股份有限公司 2025 年年度报告</x:v>
      </x:c>
      <x:c r="C6" s="17" t="str">
        <x:v>2025 分季度</x:v>
      </x:c>
      <x:c r="D6" s="17" t="str">
        <x:v>分季度主要财务指标</x:v>
      </x:c>
      <x:c r="E6" s="17" t="str">
        <x:v>季度收入、归母净利润、扣非净利润、经营现金流</x:v>
      </x:c>
      <x:c r="F6" s="17" t="str">
        <x:v>https://static.cninfo.com.cn/finalpage/2026-03-31/1225058110.PDF</x:v>
      </x:c>
    </x:row>
    <x:row r="7" ht="30" customHeight="1">
      <x:c r="A7" s="17" t="str">
        <x:v>披露平台</x:v>
      </x:c>
      <x:c r="B7" s="17" t="str">
        <x:v>巨潮资讯网（cninfo.com.cn）</x:v>
      </x:c>
      <x:c r="C7" s="17" t="str">
        <x:v>持续</x:v>
      </x:c>
      <x:c r="D7" s="17" t="str">
        <x:v>—</x:v>
      </x:c>
      <x:c r="E7" s="17" t="str">
        <x:v>年报与公告的获取入口</x:v>
      </x:c>
      <x:c r="F7" s="17" t="str">
        <x:v>http://www.cninfo.com.cn</x:v>
      </x:c>
    </x:row>
    <x:row r="8" ht="30" customHeight="1">
      <x:c r="A8" s="17" t="str">
        <x:v>公司官网</x:v>
      </x:c>
      <x:c r="B8" s="17" t="str">
        <x:v>美的集团</x:v>
      </x:c>
      <x:c r="C8" s="17" t="str">
        <x:v>持续</x:v>
      </x:c>
      <x:c r="D8" s="17" t="str">
        <x:v>—</x:v>
      </x:c>
      <x:c r="E8" s="17" t="str">
        <x:v>投资者关系与公开披露入口</x:v>
      </x:c>
      <x:c r="F8" s="17" t="str">
        <x:v>https://www.midea.com</x:v>
      </x:c>
    </x:row>
    <x:row r="9" ht="30" customHeight="1">
      <x:c r="A9" s="17" t="str">
        <x:v>说明</x:v>
      </x:c>
      <x:c r="B9" s="17" t="str">
        <x:v>本工作簿不使用虚构企业数据</x:v>
      </x:c>
      <x:c r="C9" s="17" t="str">
        <x:v>—</x:v>
      </x:c>
      <x:c r="D9" s="17" t="str">
        <x:v>—</x:v>
      </x:c>
      <x:c r="E9" s="17" t="str">
        <x:v>仅使用公开披露的真实数据，并在表内保留来源链接</x:v>
      </x:c>
      <x:c r="F9" s="17" t="str">
        <x:v>—</x:v>
      </x:c>
    </x:row>
    <x:row r="11" ht="22" customHeight="1">
      <x:c r="A11" s="35" t="str">
        <x:v>待补事项与使用限制</x:v>
      </x:c>
      <x:c r="B11" s="36" t="str">
        <x:v>待补事项与使用限制</x:v>
      </x:c>
      <x:c r="C11" s="36" t="str">
        <x:v>待补事项与使用限制</x:v>
      </x:c>
      <x:c r="D11" s="36" t="str">
        <x:v>待补事项与使用限制</x:v>
      </x:c>
      <x:c r="E11" s="36" t="str">
        <x:v>待补事项与使用限制</x:v>
      </x:c>
      <x:c r="F11" s="37" t="str">
        <x:v>待补事项与使用限制</x:v>
      </x:c>
    </x:row>
    <x:row r="12" ht="32" customHeight="1">
      <x:c r="A12" s="104" t="str">
        <x:v>待补</x:v>
      </x:c>
      <x:c r="B12" s="105" t="str">
        <x:v>在年报 PDF 中补填各报表页码，并在「真实报表数据」的报表位置列细化到页码，便于逐项复核。</x:v>
      </x:c>
      <x:c r="C12" s="105" t="str"/>
      <x:c r="D12" s="105" t="str"/>
      <x:c r="E12" s="105" t="str"/>
      <x:c r="F12" s="105" t="str"/>
    </x:row>
    <x:row r="13" ht="32" customHeight="1">
      <x:c r="A13" s="104" t="str">
        <x:v>限制</x:v>
      </x:c>
      <x:c r="B13" s="105" t="str">
        <x:v>本表用于内部经营分析练习与演示，AI 输出定位为辅助分析而非结论；涉及判断的事项均需回到报表、附注与业务资料核验。</x:v>
      </x:c>
      <x:c r="C13" s="105" t="str"/>
      <x:c r="D13" s="105" t="str"/>
      <x:c r="E13" s="105" t="str"/>
      <x:c r="F13" s="105" t="str"/>
    </x:row>
  </x:sheetData>
  <x:mergeCells>
    <x:mergeCell ref="A2:F2"/>
    <x:mergeCell ref="A11:F11"/>
    <x:mergeCell ref="B12:F12"/>
    <x:mergeCell ref="B13:F13"/>
  </x:mergeCells>
  <x:pageMargins left="0.7" right="0.7" top="0.75" bottom="0.75" header="0.3" footer="0.3"/>
</x:worksheet>
</file>